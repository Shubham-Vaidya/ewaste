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_Scorecard" sheetId="1" state="visible" r:id="rId3"/>
    <sheet name="Instructions" sheetId="2" state="visible" r:id="rId4"/>
    <sheet name="1_Generation_Inventory" sheetId="3" state="visible" r:id="rId5"/>
    <sheet name="2_Collection_Log" sheetId="4" state="visible" r:id="rId6"/>
    <sheet name="3_Recycling_Infrastructure" sheetId="5" state="visible" r:id="rId7"/>
    <sheet name="4_Compliance_Tracker" sheetId="6" state="visible" r:id="rId8"/>
    <sheet name="5_Informal_Sector_Hotspots" sheetId="7" state="visible" r:id="rId9"/>
    <sheet name="6_Env_Health_Monitoring" sheetId="8" state="visible" r:id="rId10"/>
    <sheet name="7_Awareness_Program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<sst xmlns="http://schemas.openxmlformats.org/spreadsheetml/2006/main" count="332" uniqueCount="202">
  <si>
    <t xml:space="preserve">State E-Waste Management Scorecard</t>
  </si>
  <si>
    <t xml:space="preserve">Live score out of 100, calculated from the 7 data sheets. Set benchmarks in the yellow 'Target/Benchmark' cells.</t>
  </si>
  <si>
    <t xml:space="preserve">STATE SCORE</t>
  </si>
  <si>
    <t xml:space="preserve">#</t>
  </si>
  <si>
    <t xml:space="preserve">Category</t>
  </si>
  <si>
    <t xml:space="preserve">Weight</t>
  </si>
  <si>
    <t xml:space="preserve">Benchmark / Target</t>
  </si>
  <si>
    <t xml:space="preserve">Achieved Value</t>
  </si>
  <si>
    <t xml:space="preserve">Achievement %</t>
  </si>
  <si>
    <t xml:space="preserve">Score Earned</t>
  </si>
  <si>
    <t xml:space="preserve">Generation &amp; Inventory</t>
  </si>
  <si>
    <t xml:space="preserve">Collection Performance</t>
  </si>
  <si>
    <t xml:space="preserve">Formal Recycling &amp; Treatment</t>
  </si>
  <si>
    <t xml:space="preserve">Regulatory Compliance</t>
  </si>
  <si>
    <t xml:space="preserve">Informal Sector Integration</t>
  </si>
  <si>
    <t xml:space="preserve">Environmental &amp; Health Safeguards</t>
  </si>
  <si>
    <t xml:space="preserve">Awareness &amp; Outreach</t>
  </si>
  <si>
    <t xml:space="preserve">TOTAL SCORE</t>
  </si>
  <si>
    <t xml:space="preserve">Score Bands:</t>
  </si>
  <si>
    <t xml:space="preserve">85-100</t>
  </si>
  <si>
    <t xml:space="preserve">Excellent</t>
  </si>
  <si>
    <t xml:space="preserve">65-84</t>
  </si>
  <si>
    <t xml:space="preserve">Good</t>
  </si>
  <si>
    <t xml:space="preserve">45-64</t>
  </si>
  <si>
    <t xml:space="preserve">Needs Improvement</t>
  </si>
  <si>
    <t xml:space="preserve">0-44</t>
  </si>
  <si>
    <t xml:space="preserve">Critical</t>
  </si>
  <si>
    <t xml:space="preserve">State E-Waste Management Tracker - Scoring Methodology</t>
  </si>
  <si>
    <t xml:space="preserve">A 100-point scorecard for monitoring state-level e-waste generation, collection, formal treatment, compliance, and health/environmental safeguards, in line with the E-Waste (Management) Rules, 2022 (CPCB, India).</t>
  </si>
  <si>
    <t xml:space="preserve">Indicators (data source sheet)</t>
  </si>
  <si>
    <t xml:space="preserve">District reporting completeness; category-wise breakup; annual inventory update  -&gt;  '1_Generation_Inventory'</t>
  </si>
  <si>
    <t xml:space="preserve">Collection rate (%); collection centers per million population; EPR collection-target achievement  -&gt;  '2_Collection_Log'</t>
  </si>
  <si>
    <t xml:space="preserve">% processed by authorized recyclers; installed capacity vs generation; material recovery rate  -&gt;  '3_Recycling_Infrastructure'</t>
  </si>
  <si>
    <t xml:space="preserve">% producers/EPR entities compliant; inspections conducted vs planned; penalties resolved  -&gt;  '4_Compliance_Tracker'</t>
  </si>
  <si>
    <t xml:space="preserve">% hotspots formalized/remediated; % informal workers registered/trained  -&gt;  '5_Informal_Sector_Hotspots'</t>
  </si>
  <si>
    <t xml:space="preserve">% hotspots environmentally monitored; health screening camps conducted  -&gt;  '6_Env_Health_Monitoring'</t>
  </si>
  <si>
    <t xml:space="preserve">Awareness campaigns vs target; collection drives vs target  -&gt;  '7_Awareness_Programs'</t>
  </si>
  <si>
    <t xml:space="preserve">TOTAL</t>
  </si>
  <si>
    <t xml:space="preserve">How to use this workbook</t>
  </si>
  <si>
    <t xml:space="preserve">- Enter data in the 7 numbered sheets (yellow cells = your input). Each sheet has one grey example row - replace/delete it.</t>
  </si>
  <si>
    <t xml:space="preserve">- Set your benchmarks/targets on the '0_Scorecard' sheet (yellow cells) - e.g. collection centers per million population, EPR targets, inspection/campaign targets.</t>
  </si>
  <si>
    <t xml:space="preserve">- The '0_Scorecard' sheet pulls live figures from all 7 sheets and computes the state's score out of 100 automatically. Do not overwrite formula cells.</t>
  </si>
  <si>
    <t xml:space="preserve">- Score bands (customisable on Scorecard): 85-100 Excellent | 65-84 Good | 45-64 Needs Improvement | Below 45 Critical.</t>
  </si>
  <si>
    <t xml:space="preserve">- Re-run this tracker every quarter/year to monitor trend - copy the Scorecard total into a tracking log for year-on-year comparison.</t>
  </si>
  <si>
    <t xml:space="preserve">Generation Inventory</t>
  </si>
  <si>
    <t xml:space="preserve">Assumptions &amp; Sources (used to estimate category-wise generation below)</t>
  </si>
  <si>
    <t xml:space="preserve">One row per district. Category-wise breakup based on E-Waste (Management) Rules, 2022, Schedule I (simplified).</t>
  </si>
  <si>
    <t xml:space="preserve">Per-capita e-waste generation rate (kg/person/yr)</t>
  </si>
  <si>
    <t xml:space="preserve">Source: CPCB — India e-waste generated FY2024-25 = 13,97,955.59 MT (cited in Lok Sabha reply/PIB, 2025) divided by ~1.44 billion population.</t>
  </si>
  <si>
    <t xml:space="preserve">District</t>
  </si>
  <si>
    <t xml:space="preserve">Population</t>
  </si>
  <si>
    <t xml:space="preserve">IT &amp; Telecom (kg)</t>
  </si>
  <si>
    <t xml:space="preserve">Consumer Electrical &amp; Electronics (kg)</t>
  </si>
  <si>
    <t xml:space="preserve">Large &amp; Small Equipment (kg)</t>
  </si>
  <si>
    <t xml:space="preserve">Lighting Equipment (kg)</t>
  </si>
  <si>
    <t xml:space="preserve">Batteries (kg)</t>
  </si>
  <si>
    <t xml:space="preserve">Other (kg)</t>
  </si>
  <si>
    <t xml:space="preserve">Total Generated (kg)</t>
  </si>
  <si>
    <t xml:space="preserve">Date Last Updated</t>
  </si>
  <si>
    <t xml:space="preserve">Category share of total generation (illustrative split; CPCB does not publish state/district category-wise data)</t>
  </si>
  <si>
    <t xml:space="preserve">Baksa</t>
  </si>
  <si>
    <t xml:space="preserve">20-07-2026</t>
  </si>
  <si>
    <t xml:space="preserve">IT &amp; Telecom</t>
  </si>
  <si>
    <t xml:space="preserve">Bajali</t>
  </si>
  <si>
    <t xml:space="preserve">Consumer Electrical &amp; Electronics</t>
  </si>
  <si>
    <t xml:space="preserve">Barpeta</t>
  </si>
  <si>
    <t xml:space="preserve">Large &amp; Small Equipment</t>
  </si>
  <si>
    <t xml:space="preserve">Bongaigaon</t>
  </si>
  <si>
    <t xml:space="preserve">Lighting Equipment</t>
  </si>
  <si>
    <t xml:space="preserve">Chirang</t>
  </si>
  <si>
    <t xml:space="preserve">Batteries</t>
  </si>
  <si>
    <t xml:space="preserve">Dhubri</t>
  </si>
  <si>
    <t xml:space="preserve">Other</t>
  </si>
  <si>
    <t xml:space="preserve">Goalpara</t>
  </si>
  <si>
    <t xml:space="preserve">Kamrup</t>
  </si>
  <si>
    <t xml:space="preserve">Population source: Census of India 2011 (district-wise); newer districts (Bajali, Tamulpur, Hojai, Charaideo, Majuli, West Karbi Anglong, South Salmara-Mankachar) use best publicly available figures post-bifurcation.</t>
  </si>
  <si>
    <t xml:space="preserve">Kamrup Metropolitan</t>
  </si>
  <si>
    <t xml:space="preserve">NOTE: Generation figures below are population-based ESTIMATES for planning purposes, not measured/reported quantities. Replace with actual field/EPR-portal data as it becomes available.</t>
  </si>
  <si>
    <t xml:space="preserve">Kokrajhar</t>
  </si>
  <si>
    <t xml:space="preserve">Nalbari</t>
  </si>
  <si>
    <t xml:space="preserve">South Salmara-Mankachar</t>
  </si>
  <si>
    <t xml:space="preserve">Tamulpur</t>
  </si>
  <si>
    <t xml:space="preserve">Biswanath</t>
  </si>
  <si>
    <t xml:space="preserve">Darrang</t>
  </si>
  <si>
    <t xml:space="preserve">Sonitpur</t>
  </si>
  <si>
    <t xml:space="preserve">Udalguri</t>
  </si>
  <si>
    <t xml:space="preserve">Nagaon</t>
  </si>
  <si>
    <t xml:space="preserve">Morigaon</t>
  </si>
  <si>
    <t xml:space="preserve">Karbi Anglong</t>
  </si>
  <si>
    <t xml:space="preserve">Hojai</t>
  </si>
  <si>
    <t xml:space="preserve">Dima Hasao</t>
  </si>
  <si>
    <t xml:space="preserve">West Karbi Anglong</t>
  </si>
  <si>
    <t xml:space="preserve">Sivasagar</t>
  </si>
  <si>
    <t xml:space="preserve">Charaideo</t>
  </si>
  <si>
    <t xml:space="preserve">Jorhat</t>
  </si>
  <si>
    <t xml:space="preserve">Majuli</t>
  </si>
  <si>
    <t xml:space="preserve">Dibrugarh</t>
  </si>
  <si>
    <t xml:space="preserve">Dhemaji</t>
  </si>
  <si>
    <t xml:space="preserve">Golaghat</t>
  </si>
  <si>
    <t xml:space="preserve">Lakhimpur</t>
  </si>
  <si>
    <t xml:space="preserve">Tinsukia</t>
  </si>
  <si>
    <t xml:space="preserve">Cachar</t>
  </si>
  <si>
    <t xml:space="preserve">Hailakandi</t>
  </si>
  <si>
    <t xml:space="preserve">Karimganj</t>
  </si>
  <si>
    <t xml:space="preserve">STATE TOTAL</t>
  </si>
  <si>
    <t xml:space="preserve">Collection Log</t>
  </si>
  <si>
    <t xml:space="preserve">Assumptions (no district-wise figures are publicly published for Assam - all four are planning-level ESTIMATES to be replaced with actual SPCB Assam / EPR-portal records): Collected (D) = Generated x 70.71% (CPCB national FY2024-25 collection/processing share). Registered Collection Centers (E) = 1 per 5,00,000 population (min. 1/district) — a working planning norm, not an audited count. EPR Collection Target (F) = Generated x 75% (illustrative target index). EPR Collection Achieved (G) = same as Collected (D), as no separate producer-reported achievement figure exists per district.</t>
  </si>
  <si>
    <t xml:space="preserve">One row per district. 'Generated' auto-pulls from Sheet 1 by district name - keep district names identical across sheets.</t>
  </si>
  <si>
    <t xml:space="preserve">Generated (kg) [from Sheet 1]</t>
  </si>
  <si>
    <t xml:space="preserve">Collected (kg)</t>
  </si>
  <si>
    <t xml:space="preserve">Registered Collection Centers</t>
  </si>
  <si>
    <t xml:space="preserve">EPR Collection Target (kg)</t>
  </si>
  <si>
    <t xml:space="preserve">EPR Collection Achieved (kg)</t>
  </si>
  <si>
    <t xml:space="preserve">Remarks</t>
  </si>
  <si>
    <t xml:space="preserve">Collected (D) is a planning estimate = Generated x national FY24-25 collection rate (70.71%, CPCB). Centers / EPR figures to be filled from SPCB Assam records.</t>
  </si>
  <si>
    <t xml:space="preserve">Recycling Infrastructure</t>
  </si>
  <si>
    <t xml:space="preserve">Source: CPCB, State-wise list of CPCB/SPCB-authorised E-Waste Dismantlers/Recyclers (as on 08-06-2023) — Assam: 1 authorised unit, M/s United Global Trust, F-5, Zoo Road, Senduri Ali Path, Guwahati, Dist. Kamrup (M), installed capacity 120 MTA. Corroborated by The Sentinel Assam (27-Aug-2024), "The alarm bell on Guwahati's e-waste stockpile," which reports Assam has only one authorised e-waste dismantling/refurbishing facility (a second was reported to be in the process of being established). Quantity processed, material recovery rate and authorisation validity are not publicly disclosed - to be filled in from the SPCB Assam consent record.</t>
  </si>
  <si>
    <t xml:space="preserve">One row per CPCB/SPCB-authorized recycler or dismantler operating in the state.</t>
  </si>
  <si>
    <t xml:space="preserve">Recycler / Dismantler Name</t>
  </si>
  <si>
    <t xml:space="preserve">CPCB/SPCB Authorization No.</t>
  </si>
  <si>
    <t xml:space="preserve">Installed Capacity (tonnes/yr)</t>
  </si>
  <si>
    <t xml:space="preserve">Quantity Processed This Year (tonnes)</t>
  </si>
  <si>
    <t xml:space="preserve">Material Recovery Rate (%)</t>
  </si>
  <si>
    <t xml:space="preserve">Authorization Valid Till</t>
  </si>
  <si>
    <t xml:space="preserve">M/s United Global Trust</t>
  </si>
  <si>
    <t xml:space="preserve">Not published in CPCB list (verify with SPCB Assam)</t>
  </si>
  <si>
    <t xml:space="preserve">Kamrup Metropolitan (Guwahati)</t>
  </si>
  <si>
    <t xml:space="preserve">Compliance Tracker</t>
  </si>
  <si>
    <t xml:space="preserve">CPCB's EPR e-waste portal does not publish a public, entity-level list of registered producers or their inspection/compliance status by state. Row 6 is a clearly-marked EXAMPLE only (grey shading, as in the original template) showing the expected format - replace it with actual entries from SPCB Assam / CPCB regional office records.</t>
  </si>
  <si>
    <t xml:space="preserve">One row per registered producer / EPR entity operating in the state.</t>
  </si>
  <si>
    <t xml:space="preserve">Producer / EPR Entity</t>
  </si>
  <si>
    <t xml:space="preserve">EPR Registration No.</t>
  </si>
  <si>
    <t xml:space="preserve">Compliance Status</t>
  </si>
  <si>
    <t xml:space="preserve">Inspection Planned (Y/N)</t>
  </si>
  <si>
    <t xml:space="preserve">Inspection Conducted (Y/N)</t>
  </si>
  <si>
    <t xml:space="preserve">Penalty / Show-Cause Issued (Y/N)</t>
  </si>
  <si>
    <t xml:space="preserve">Penalty Resolved (Y/N)</t>
  </si>
  <si>
    <t xml:space="preserve">EXAMPLE - replace with actual producer/EPR entity (no public per-entity dataset exists for Assam)</t>
  </si>
  <si>
    <t xml:space="preserve">EPR/20XX/AS/XXXXX</t>
  </si>
  <si>
    <t xml:space="preserve">Compliant</t>
  </si>
  <si>
    <t xml:space="preserve">Yes</t>
  </si>
  <si>
    <t xml:space="preserve">No</t>
  </si>
  <si>
    <t xml:space="preserve">N/A</t>
  </si>
  <si>
    <t xml:space="preserve">Sample row only - delete and enter real producers registered with SPCB Assam / CPCB EPR portal</t>
  </si>
  <si>
    <t xml:space="preserve">Total Registered</t>
  </si>
  <si>
    <t xml:space="preserve">Inspections Planned</t>
  </si>
  <si>
    <t xml:space="preserve">Inspections Conducted</t>
  </si>
  <si>
    <t xml:space="preserve">Penalties Issued</t>
  </si>
  <si>
    <t xml:space="preserve">Penalties Resolved</t>
  </si>
  <si>
    <t xml:space="preserve">Informal Sector Hotspots</t>
  </si>
  <si>
    <t xml:space="preserve">Source: "The alarm bell on Guwahati's e-waste stockpile," The Sentinel Assam, 27-Aug-2024 (describes PCB Assam's standing public notice, GMC monitoring directive, and the informal waste-picker/scrap-dealer trade in Guwahati). No official worker-count survey for this or other Assam hotspots was found in public sources; additional district-level hotspots (if any) should be added by SPCB Assam field staff.</t>
  </si>
  <si>
    <t xml:space="preserve">One row per known informal e-waste recycling hotspot/cluster in the state.</t>
  </si>
  <si>
    <t xml:space="preserve">Hotspot / Informal Cluster Name</t>
  </si>
  <si>
    <t xml:space="preserve">Status</t>
  </si>
  <si>
    <t xml:space="preserve">Estimated Informal Workers</t>
  </si>
  <si>
    <t xml:space="preserve">Workers Registered / Trained</t>
  </si>
  <si>
    <t xml:space="preserve">Formalization Action Taken</t>
  </si>
  <si>
    <t xml:space="preserve">Guwahati informal scrap-dealer / waste-picker network (city-wide, incl. Fancy Bazar scrap trade)</t>
  </si>
  <si>
    <t xml:space="preserve">Not formalized</t>
  </si>
  <si>
    <t xml:space="preserve">Not officially enumerated</t>
  </si>
  <si>
    <t xml:space="preserve">PCB Assam public notice directs bulk/domestic consumers to sell e-waste only to authorised collection centres/recyclers; GMC directed to conduct joint monitoring of scrap yards - implementation reported limited as of Aug 2024.</t>
  </si>
  <si>
    <t xml:space="preserve">Informal waste pickers ("kabadiwalas") routinely purchase discarded computers, phones and appliances door-to-door and sell to scrap dealers; no formal headcount of informal workers has been published.</t>
  </si>
  <si>
    <t xml:space="preserve">Total Hotspots</t>
  </si>
  <si>
    <t xml:space="preserve">Formalized/Remediated</t>
  </si>
  <si>
    <t xml:space="preserve">Estimated Workers (Total)</t>
  </si>
  <si>
    <t xml:space="preserve">Workers Registered/Trained (Total)</t>
  </si>
  <si>
    <t xml:space="preserve">Env Health Monitoring</t>
  </si>
  <si>
    <t xml:space="preserve">No publicly reported environmental-monitoring result or health-screening camp specific to an e-waste hotspot in Assam was found. Row 6 is a clearly-marked EXAMPLE only (grey shading) showing the expected format - replace it with actual visit records from SPCB Assam / District Health Department as monitoring is carried out.</t>
  </si>
  <si>
    <t xml:space="preserve">One row per environmental monitoring visit or health camp conducted at a hotspot.</t>
  </si>
  <si>
    <t xml:space="preserve">Site / Hotspot Monitored</t>
  </si>
  <si>
    <t xml:space="preserve">Monitoring Type</t>
  </si>
  <si>
    <t xml:space="preserve">Date</t>
  </si>
  <si>
    <t xml:space="preserve">Result</t>
  </si>
  <si>
    <t xml:space="preserve">Health Camp Conducted (Y/N)</t>
  </si>
  <si>
    <t xml:space="preserve">Beneficiaries Screened</t>
  </si>
  <si>
    <t xml:space="preserve">EXAMPLE - replace with actual monitoring visit/health camp record</t>
  </si>
  <si>
    <t xml:space="preserve">District name</t>
  </si>
  <si>
    <t xml:space="preserve">Soil / Water / Air</t>
  </si>
  <si>
    <t xml:space="preserve">DD-MM-YYYY</t>
  </si>
  <si>
    <t xml:space="preserve">Within limit / Exceeds limit</t>
  </si>
  <si>
    <t xml:space="preserve">Yes/No</t>
  </si>
  <si>
    <t xml:space="preserve">Sample row only - no public record of an Assam e-waste site monitoring visit or health camp was found</t>
  </si>
  <si>
    <t xml:space="preserve">Distinct Sites Monitored</t>
  </si>
  <si>
    <t xml:space="preserve">Health Camps Conducted</t>
  </si>
  <si>
    <t xml:space="preserve">Total Beneficiaries Screened</t>
  </si>
  <si>
    <t xml:space="preserve">Awareness Programs</t>
  </si>
  <si>
    <t xml:space="preserve">Source: "Assam: Binbag collects over 5 tonnes of e-waste during World Environment Day drive," Northeast Now / Northeast News, 5-Jun-2026. Binbag (a waste-management organisation) collected 5+ tonnes of e-waste across Assam over 7 days around World Environment Day 2026, including drives at NRL Township (Golaghat) and Natun Fatasil Town High School (Guwahati) with Dream India Network. Exact participant headcounts were not stated in the source and are left blank for the organisers to confirm.</t>
  </si>
  <si>
    <t xml:space="preserve">One row per awareness campaign, take-back scheme promotion, or collection drive conducted.</t>
  </si>
  <si>
    <t xml:space="preserve">Program Name</t>
  </si>
  <si>
    <t xml:space="preserve">Type</t>
  </si>
  <si>
    <t xml:space="preserve">Target Audience</t>
  </si>
  <si>
    <t xml:space="preserve">Participants Reached</t>
  </si>
  <si>
    <t xml:space="preserve">World Environment Day E-Waste Collection Drive (Binbag x Numaligarh Refinery Ltd.)</t>
  </si>
  <si>
    <t xml:space="preserve">05-06-2026</t>
  </si>
  <si>
    <t xml:space="preserve">Institutional Collection Drive</t>
  </si>
  <si>
    <t xml:space="preserve">NRL Township residents &amp; employees</t>
  </si>
  <si>
    <t xml:space="preserve">World Environment Day Awareness Programme (Binbag x Dream India Network)</t>
  </si>
  <si>
    <t xml:space="preserve">School Collection Drive</t>
  </si>
  <si>
    <t xml:space="preserve">Students, Natun Fatasil Town High School, Guwahati</t>
  </si>
  <si>
    <t xml:space="preserve">Total Programs Conducted</t>
  </si>
  <si>
    <t xml:space="preserve">Collection Drives (School+RWA)</t>
  </si>
  <si>
    <t xml:space="preserve">Total Participants Reached</t>
  </si>
</sst>
</file>

<file path=xl/styles.xml><?xml version="1.0" encoding="utf-8"?>
<styleSheet xmlns="http://schemas.openxmlformats.org/spreadsheetml/2006/main">
  <numFmts count="4">
    <numFmt numFmtId="164" formatCode="General"/>
    <numFmt numFmtId="165" formatCode="0.0"/>
    <numFmt numFmtId="166" formatCode="0.0%"/>
    <numFmt numFmtId="167"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404040"/>
      <name val="Arial"/>
      <family val="0"/>
      <charset val="1"/>
    </font>
    <font>
      <b val="true"/>
      <sz val="12"/>
      <color rgb="FFFFFFFF"/>
      <name val="Arial"/>
      <family val="0"/>
      <charset val="1"/>
    </font>
    <font>
      <b val="true"/>
      <sz val="28"/>
      <color rgb="FF1F4E78"/>
      <name val="Arial"/>
      <family val="0"/>
      <charset val="1"/>
    </font>
    <font>
      <b val="true"/>
      <sz val="14"/>
      <name val="Arial"/>
      <family val="0"/>
      <charset val="1"/>
    </font>
    <font>
      <b val="true"/>
      <sz val="10"/>
      <color rgb="FFFFFFFF"/>
      <name val="Arial"/>
      <family val="0"/>
      <charset val="1"/>
    </font>
    <font>
      <b val="true"/>
      <sz val="10"/>
      <name val="Arial"/>
      <family val="0"/>
      <charset val="1"/>
    </font>
    <font>
      <b val="true"/>
      <sz val="11"/>
      <color rgb="FF1F4E78"/>
      <name val="Arial"/>
      <family val="0"/>
      <charset val="1"/>
    </font>
    <font>
      <sz val="10"/>
      <name val="Arial"/>
      <family val="0"/>
      <charset val="1"/>
    </font>
    <font>
      <sz val="11"/>
      <color rgb="FF808080"/>
      <name val="Arial"/>
      <family val="0"/>
      <charset val="1"/>
    </font>
  </fonts>
  <fills count="8">
    <fill>
      <patternFill patternType="none"/>
    </fill>
    <fill>
      <patternFill patternType="gray125"/>
    </fill>
    <fill>
      <patternFill patternType="solid">
        <fgColor rgb="FF1F4E78"/>
        <bgColor rgb="FF003366"/>
      </patternFill>
    </fill>
    <fill>
      <patternFill patternType="solid">
        <fgColor rgb="FFD9E1F2"/>
        <bgColor rgb="FFF2F2F2"/>
      </patternFill>
    </fill>
    <fill>
      <patternFill patternType="solid">
        <fgColor rgb="FF2E75B6"/>
        <bgColor rgb="FF0066CC"/>
      </patternFill>
    </fill>
    <fill>
      <patternFill patternType="solid">
        <fgColor rgb="FFFFFF99"/>
        <bgColor rgb="FFF2F2F2"/>
      </patternFill>
    </fill>
    <fill>
      <patternFill patternType="solid">
        <fgColor rgb="FFFFFFFF"/>
        <bgColor rgb="FFF2F2F2"/>
      </patternFill>
    </fill>
    <fill>
      <patternFill patternType="solid">
        <fgColor rgb="FFF2F2F2"/>
        <bgColor rgb="FFFFFFFF"/>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false" indent="0" shrinkToFit="false"/>
      <protection locked="true" hidden="false"/>
    </xf>
    <xf numFmtId="165" fontId="7" fillId="3" borderId="0"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4" fontId="0" fillId="5" borderId="1" xfId="0" applyFont="false" applyBorder="true" applyAlignment="true" applyProtection="false">
      <alignment horizontal="center" vertical="bottom" textRotation="0" wrapText="false" indent="0" shrinkToFit="false"/>
      <protection locked="true" hidden="false"/>
    </xf>
    <xf numFmtId="166" fontId="0" fillId="0" borderId="1" xfId="0" applyFont="false" applyBorder="true" applyAlignment="true" applyProtection="false">
      <alignment horizontal="center" vertical="bottom" textRotation="0" wrapText="false" indent="0" shrinkToFit="false"/>
      <protection locked="true" hidden="false"/>
    </xf>
    <xf numFmtId="167" fontId="10" fillId="0" borderId="1" xfId="0" applyFont="true" applyBorder="true" applyAlignment="true" applyProtection="false">
      <alignment horizontal="center" vertical="bottom" textRotation="0" wrapText="false" indent="0" shrinkToFit="false"/>
      <protection locked="true" hidden="false"/>
    </xf>
    <xf numFmtId="166" fontId="0" fillId="5" borderId="1" xfId="0" applyFont="false" applyBorder="true" applyAlignment="true" applyProtection="false">
      <alignment horizontal="center" vertical="bottom"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7" fontId="12" fillId="6" borderId="1" xfId="0" applyFont="true" applyBorder="true" applyAlignment="true" applyProtection="false">
      <alignment horizontal="center" vertical="center" textRotation="0" wrapText="true" indent="0" shrinkToFit="false"/>
      <protection locked="true" hidden="false"/>
    </xf>
    <xf numFmtId="166" fontId="12" fillId="5" borderId="1" xfId="0" applyFont="true" applyBorder="true" applyAlignment="true" applyProtection="false">
      <alignment horizontal="center" vertical="center" textRotation="0" wrapText="true" indent="0" shrinkToFit="false"/>
      <protection locked="true" hidden="false"/>
    </xf>
    <xf numFmtId="166" fontId="10" fillId="3" borderId="1" xfId="0" applyFont="true" applyBorder="true" applyAlignment="true" applyProtection="false">
      <alignment horizontal="general" vertical="bottom" textRotation="0" wrapText="false" indent="0" shrinkToFit="false"/>
      <protection locked="true" hidden="false"/>
    </xf>
    <xf numFmtId="164" fontId="13" fillId="7"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404040"/>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1.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sharedStrings" Target="sharedStrings.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4.xml"/><Relationship Id="rId11" Type="http://schemas.openxmlformats.org/officeDocument/2006/relationships/worksheet" Target="worksheets/sheet9.xml"/><Relationship Id="rId5" Type="http://schemas.openxmlformats.org/officeDocument/2006/relationships/worksheet" Target="worksheets/sheet3.xml"/><Relationship Id="rId15" Type="http://schemas.openxmlformats.org/officeDocument/2006/relationships/customXml" Target="../customXml/item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2.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E10" activeCellId="0" sqref="E10"/>
    </sheetView>
  </sheetViews>
  <sheetFormatPr defaultColWidth="8.7421875" defaultRowHeight="15" zeroHeight="false" outlineLevelRow="0" outlineLevelCol="0"/>
  <cols>
    <col collapsed="false" customWidth="true" hidden="false" outlineLevel="0" max="1" min="1" style="1" width="2.96"/>
    <col collapsed="false" customWidth="true" hidden="false" outlineLevel="0" max="2" min="2" style="1" width="6.05"/>
    <col collapsed="false" customWidth="true" hidden="false" outlineLevel="0" max="3" min="3" style="1" width="30"/>
    <col collapsed="false" customWidth="true" hidden="false" outlineLevel="0" max="4" min="4" style="1" width="9.94"/>
    <col collapsed="false" customWidth="true" hidden="false" outlineLevel="0" max="6" min="5" style="1" width="16.01"/>
    <col collapsed="false" customWidth="true" hidden="false" outlineLevel="0" max="7" min="7" style="1" width="13.99"/>
    <col collapsed="false" customWidth="true" hidden="false" outlineLevel="0" max="8" min="8" style="1" width="13.03"/>
    <col collapsed="false" customWidth="true" hidden="false" outlineLevel="0" max="9" min="9" style="1" width="9.94"/>
  </cols>
  <sheetData>
    <row r="2" customFormat="false" ht="25.5" hidden="false" customHeight="true" outlineLevel="0" collapsed="false">
      <c r="A2" s="2" t="s">
        <v>0</v>
      </c>
      <c r="B2" s="2"/>
      <c r="C2" s="2"/>
      <c r="D2" s="2"/>
      <c r="E2" s="2"/>
      <c r="F2" s="2"/>
      <c r="G2" s="2"/>
      <c r="H2" s="2"/>
    </row>
    <row r="3" customFormat="false" ht="15" hidden="false" customHeight="true" outlineLevel="0" collapsed="false">
      <c r="B3" s="3" t="s">
        <v>1</v>
      </c>
      <c r="C3" s="3"/>
      <c r="D3" s="3"/>
      <c r="E3" s="3"/>
      <c r="F3" s="3"/>
      <c r="G3" s="3"/>
      <c r="H3" s="3"/>
      <c r="I3" s="3"/>
    </row>
    <row r="5" customFormat="false" ht="15" hidden="false" customHeight="true" outlineLevel="0" collapsed="false">
      <c r="B5" s="4" t="s">
        <v>2</v>
      </c>
      <c r="C5" s="4"/>
      <c r="D5" s="5" t="n">
        <f aca="false">ROUND(H17,1)</f>
        <v>56.1</v>
      </c>
      <c r="E5" s="5"/>
      <c r="F5" s="6" t="str">
        <f aca="false">_xlfn.IFS(H17&gt;=85,"EXCELLENT",H17&gt;=65,"GOOD",H17&gt;=45,"NEEDS IMPROVEMENT",TRUE(),"CRITICAL")</f>
        <v>NEEDS IMPROVEMENT</v>
      </c>
      <c r="G5" s="6"/>
      <c r="H5" s="6"/>
      <c r="I5" s="6"/>
    </row>
    <row r="6" customFormat="false" ht="15" hidden="false" customHeight="true" outlineLevel="0" collapsed="false">
      <c r="B6" s="4"/>
      <c r="C6" s="4"/>
      <c r="D6" s="5"/>
      <c r="E6" s="5"/>
      <c r="F6" s="6"/>
      <c r="G6" s="6"/>
      <c r="H6" s="6"/>
      <c r="I6" s="6"/>
    </row>
    <row r="7" customFormat="false" ht="15" hidden="false" customHeight="true" outlineLevel="0" collapsed="false">
      <c r="B7" s="4"/>
      <c r="C7" s="4"/>
      <c r="D7" s="5"/>
      <c r="E7" s="5"/>
      <c r="F7" s="6"/>
      <c r="G7" s="6"/>
      <c r="H7" s="6"/>
      <c r="I7" s="6"/>
    </row>
    <row r="9" customFormat="false" ht="30" hidden="false" customHeight="true" outlineLevel="0" collapsed="false">
      <c r="B9" s="7" t="s">
        <v>3</v>
      </c>
      <c r="C9" s="7" t="s">
        <v>4</v>
      </c>
      <c r="D9" s="7" t="s">
        <v>5</v>
      </c>
      <c r="E9" s="7" t="s">
        <v>6</v>
      </c>
      <c r="F9" s="7" t="s">
        <v>7</v>
      </c>
      <c r="G9" s="7" t="s">
        <v>8</v>
      </c>
      <c r="H9" s="7" t="s">
        <v>9</v>
      </c>
    </row>
    <row r="10" customFormat="false" ht="30" hidden="false" customHeight="true" outlineLevel="0" collapsed="false">
      <c r="B10" s="8" t="n">
        <v>1</v>
      </c>
      <c r="C10" s="9" t="s">
        <v>10</v>
      </c>
      <c r="D10" s="8" t="n">
        <v>15</v>
      </c>
      <c r="E10" s="10" t="n">
        <v>35</v>
      </c>
      <c r="F10" s="8" t="n">
        <f aca="false">COUNTIF(1_Generation_Inventory!C6:C40,"?*")</f>
        <v>35</v>
      </c>
      <c r="G10" s="11" t="n">
        <f aca="false">IFERROR(MIN(F10/E10,1),0)</f>
        <v>1</v>
      </c>
      <c r="H10" s="12" t="n">
        <f aca="false">ROUND(G10*D10,1)</f>
        <v>15</v>
      </c>
    </row>
    <row r="11" customFormat="false" ht="30" hidden="false" customHeight="true" outlineLevel="0" collapsed="false">
      <c r="B11" s="8" t="n">
        <v>2</v>
      </c>
      <c r="C11" s="9" t="s">
        <v>11</v>
      </c>
      <c r="D11" s="8" t="n">
        <v>20</v>
      </c>
      <c r="E11" s="13" t="n">
        <v>1</v>
      </c>
      <c r="F11" s="11" t="n">
        <f aca="false">IFERROR(2_Collection_Log!F42/2_Collection_Log!C42,0)</f>
        <v>0.750000097194399</v>
      </c>
      <c r="G11" s="11" t="n">
        <f aca="false">IFERROR(MIN(F11/E11,1),0)</f>
        <v>0.750000097194399</v>
      </c>
      <c r="H11" s="12" t="n">
        <f aca="false">ROUND(G11*D11,1)</f>
        <v>15</v>
      </c>
    </row>
    <row r="12" customFormat="false" ht="30" hidden="false" customHeight="true" outlineLevel="0" collapsed="false">
      <c r="B12" s="8" t="n">
        <v>3</v>
      </c>
      <c r="C12" s="9" t="s">
        <v>12</v>
      </c>
      <c r="D12" s="8" t="n">
        <v>20</v>
      </c>
      <c r="E12" s="13" t="n">
        <v>1</v>
      </c>
      <c r="F12" s="11" t="n">
        <f aca="false">IFERROR((3_Recycling_Infrastructure!E28*1000)/2_Collection_Log!C42,0)</f>
        <v>0.00388777597701754</v>
      </c>
      <c r="G12" s="11" t="n">
        <f aca="false">IFERROR(MIN(F12/E12,1),0)</f>
        <v>0.00388777597701754</v>
      </c>
      <c r="H12" s="12" t="n">
        <f aca="false">ROUND(G12*D12,1)</f>
        <v>0.1</v>
      </c>
    </row>
    <row r="13" customFormat="false" ht="30" hidden="false" customHeight="true" outlineLevel="0" collapsed="false">
      <c r="B13" s="8" t="n">
        <v>4</v>
      </c>
      <c r="C13" s="9" t="s">
        <v>13</v>
      </c>
      <c r="D13" s="8" t="n">
        <v>15</v>
      </c>
      <c r="E13" s="13" t="n">
        <v>1</v>
      </c>
      <c r="F13" s="11" t="n">
        <f aca="false">IFERROR(4_Compliance_Tracker!C28/4_Compliance_Tracker!C29,0)</f>
        <v>1</v>
      </c>
      <c r="G13" s="11" t="n">
        <f aca="false">IFERROR(MIN(F13/E13,1),0)</f>
        <v>1</v>
      </c>
      <c r="H13" s="12" t="n">
        <f aca="false">ROUND(G13*D13,1)</f>
        <v>15</v>
      </c>
    </row>
    <row r="14" customFormat="false" ht="30" hidden="false" customHeight="true" outlineLevel="0" collapsed="false">
      <c r="B14" s="8" t="n">
        <v>5</v>
      </c>
      <c r="C14" s="9" t="s">
        <v>14</v>
      </c>
      <c r="D14" s="8" t="n">
        <v>10</v>
      </c>
      <c r="E14" s="13" t="n">
        <v>1</v>
      </c>
      <c r="F14" s="11" t="n">
        <f aca="false">IFERROR(5_Informal_Sector_Hotspots!C29/5_Informal_Sector_Hotspots!C28,0)</f>
        <v>0</v>
      </c>
      <c r="G14" s="11" t="n">
        <f aca="false">IFERROR(MIN(F14/E14,1),0)</f>
        <v>0</v>
      </c>
      <c r="H14" s="12" t="n">
        <f aca="false">ROUND(G14*D14,1)</f>
        <v>0</v>
      </c>
    </row>
    <row r="15" customFormat="false" ht="30" hidden="false" customHeight="true" outlineLevel="0" collapsed="false">
      <c r="B15" s="8" t="n">
        <v>6</v>
      </c>
      <c r="C15" s="9" t="s">
        <v>15</v>
      </c>
      <c r="D15" s="8" t="n">
        <v>10</v>
      </c>
      <c r="E15" s="13" t="n">
        <v>1</v>
      </c>
      <c r="F15" s="11" t="n">
        <f aca="false">IFERROR(6_Env_Health_Monitoring!C28/5_Informal_Sector_Hotspots!C28,0)</f>
        <v>1</v>
      </c>
      <c r="G15" s="11" t="n">
        <f aca="false">IFERROR(MIN(F15/E15,1),0)</f>
        <v>1</v>
      </c>
      <c r="H15" s="12" t="n">
        <f aca="false">ROUND(G15*D15,1)</f>
        <v>10</v>
      </c>
    </row>
    <row r="16" customFormat="false" ht="30" hidden="false" customHeight="true" outlineLevel="0" collapsed="false">
      <c r="B16" s="8" t="n">
        <v>7</v>
      </c>
      <c r="C16" s="9" t="s">
        <v>16</v>
      </c>
      <c r="D16" s="8" t="n">
        <v>10</v>
      </c>
      <c r="E16" s="10" t="n">
        <v>20</v>
      </c>
      <c r="F16" s="8" t="n">
        <f aca="false">7_Awareness_Programs!C28</f>
        <v>2</v>
      </c>
      <c r="G16" s="11" t="n">
        <f aca="false">IFERROR(MIN(F16/E16,1),0)</f>
        <v>0.1</v>
      </c>
      <c r="H16" s="12" t="n">
        <f aca="false">ROUND(G16*D16,1)</f>
        <v>1</v>
      </c>
    </row>
    <row r="17" customFormat="false" ht="15" hidden="false" customHeight="true" outlineLevel="0" collapsed="false">
      <c r="B17" s="14"/>
      <c r="C17" s="15" t="s">
        <v>17</v>
      </c>
      <c r="D17" s="15" t="n">
        <f aca="false">SUM(D10:D16)</f>
        <v>100</v>
      </c>
      <c r="E17" s="14"/>
      <c r="F17" s="14"/>
      <c r="G17" s="14"/>
      <c r="H17" s="15" t="n">
        <f aca="false">SUM(H10:H16)</f>
        <v>56.1</v>
      </c>
    </row>
    <row r="19" customFormat="false" ht="15" hidden="false" customHeight="true" outlineLevel="0" collapsed="false">
      <c r="B19" s="16" t="s">
        <v>18</v>
      </c>
    </row>
    <row r="20" customFormat="false" ht="15" hidden="false" customHeight="true" outlineLevel="0" collapsed="false">
      <c r="B20" s="17" t="s">
        <v>19</v>
      </c>
      <c r="C20" s="17" t="s">
        <v>20</v>
      </c>
    </row>
    <row r="21" customFormat="false" ht="15" hidden="false" customHeight="true" outlineLevel="0" collapsed="false">
      <c r="B21" s="17" t="s">
        <v>21</v>
      </c>
      <c r="C21" s="17" t="s">
        <v>22</v>
      </c>
    </row>
    <row r="22" customFormat="false" ht="15" hidden="false" customHeight="true" outlineLevel="0" collapsed="false">
      <c r="B22" s="17" t="s">
        <v>23</v>
      </c>
      <c r="C22" s="17" t="s">
        <v>24</v>
      </c>
    </row>
    <row r="23" customFormat="false" ht="15" hidden="false" customHeight="true" outlineLevel="0" collapsed="false">
      <c r="B23" s="17" t="s">
        <v>25</v>
      </c>
      <c r="C23" s="17" t="s">
        <v>26</v>
      </c>
    </row>
  </sheetData>
  <mergeCells count="5">
    <mergeCell ref="A2:H2"/>
    <mergeCell ref="B3:I3"/>
    <mergeCell ref="B5:C7"/>
    <mergeCell ref="D5:E7"/>
    <mergeCell ref="F5:I7"/>
  </mergeCells>
  <conditionalFormatting sqref="D5">
    <cfRule type="colorScale" priority="2">
      <colorScale>
        <cfvo type="num" val="0"/>
        <cfvo type="num" val="60"/>
        <cfvo type="num" val="100"/>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421875" defaultRowHeight="15" zeroHeight="false" outlineLevelRow="0" outlineLevelCol="0"/>
  <cols>
    <col collapsed="false" customWidth="true" hidden="false" outlineLevel="0" max="1" min="1" style="1" width="2.96"/>
    <col collapsed="false" customWidth="true" hidden="false" outlineLevel="0" max="2" min="2" style="1" width="6.05"/>
    <col collapsed="false" customWidth="true" hidden="false" outlineLevel="0" max="3" min="3" style="1" width="25.97"/>
    <col collapsed="false" customWidth="true" hidden="false" outlineLevel="0" max="4" min="4" style="1" width="9.01"/>
    <col collapsed="false" customWidth="true" hidden="false" outlineLevel="0" max="8" min="5" style="1" width="16.01"/>
  </cols>
  <sheetData>
    <row r="2" customFormat="false" ht="25.5" hidden="false" customHeight="true" outlineLevel="0" collapsed="false">
      <c r="A2" s="2" t="s">
        <v>27</v>
      </c>
      <c r="B2" s="2"/>
      <c r="C2" s="2"/>
      <c r="D2" s="2"/>
      <c r="E2" s="2"/>
      <c r="F2" s="2"/>
      <c r="G2" s="2"/>
    </row>
    <row r="4" customFormat="false" ht="30" hidden="false" customHeight="true" outlineLevel="0" collapsed="false">
      <c r="B4" s="18" t="s">
        <v>28</v>
      </c>
      <c r="C4" s="18"/>
      <c r="D4" s="18"/>
      <c r="E4" s="18"/>
      <c r="F4" s="18"/>
      <c r="G4" s="18"/>
      <c r="H4" s="18"/>
    </row>
    <row r="6" customFormat="false" ht="24.75" hidden="false" customHeight="true" outlineLevel="0" collapsed="false">
      <c r="B6" s="7" t="s">
        <v>3</v>
      </c>
      <c r="C6" s="7" t="s">
        <v>4</v>
      </c>
      <c r="D6" s="7" t="s">
        <v>5</v>
      </c>
      <c r="E6" s="7" t="s">
        <v>29</v>
      </c>
    </row>
    <row r="7" customFormat="false" ht="30" hidden="false" customHeight="true" outlineLevel="0" collapsed="false">
      <c r="B7" s="8" t="n">
        <v>1</v>
      </c>
      <c r="C7" s="19" t="s">
        <v>10</v>
      </c>
      <c r="D7" s="8" t="n">
        <v>15</v>
      </c>
      <c r="E7" s="20" t="s">
        <v>30</v>
      </c>
      <c r="F7" s="20"/>
      <c r="G7" s="20"/>
      <c r="H7" s="20"/>
    </row>
    <row r="8" customFormat="false" ht="30" hidden="false" customHeight="true" outlineLevel="0" collapsed="false">
      <c r="B8" s="8" t="n">
        <v>2</v>
      </c>
      <c r="C8" s="19" t="s">
        <v>11</v>
      </c>
      <c r="D8" s="8" t="n">
        <v>20</v>
      </c>
      <c r="E8" s="20" t="s">
        <v>31</v>
      </c>
      <c r="F8" s="20"/>
      <c r="G8" s="20"/>
      <c r="H8" s="20"/>
    </row>
    <row r="9" customFormat="false" ht="30" hidden="false" customHeight="true" outlineLevel="0" collapsed="false">
      <c r="B9" s="8" t="n">
        <v>3</v>
      </c>
      <c r="C9" s="19" t="s">
        <v>12</v>
      </c>
      <c r="D9" s="8" t="n">
        <v>20</v>
      </c>
      <c r="E9" s="20" t="s">
        <v>32</v>
      </c>
      <c r="F9" s="20"/>
      <c r="G9" s="20"/>
      <c r="H9" s="20"/>
    </row>
    <row r="10" customFormat="false" ht="30" hidden="false" customHeight="true" outlineLevel="0" collapsed="false">
      <c r="B10" s="8" t="n">
        <v>4</v>
      </c>
      <c r="C10" s="19" t="s">
        <v>13</v>
      </c>
      <c r="D10" s="8" t="n">
        <v>15</v>
      </c>
      <c r="E10" s="20" t="s">
        <v>33</v>
      </c>
      <c r="F10" s="20"/>
      <c r="G10" s="20"/>
      <c r="H10" s="20"/>
    </row>
    <row r="11" customFormat="false" ht="30" hidden="false" customHeight="true" outlineLevel="0" collapsed="false">
      <c r="B11" s="8" t="n">
        <v>5</v>
      </c>
      <c r="C11" s="19" t="s">
        <v>14</v>
      </c>
      <c r="D11" s="8" t="n">
        <v>10</v>
      </c>
      <c r="E11" s="20" t="s">
        <v>34</v>
      </c>
      <c r="F11" s="20"/>
      <c r="G11" s="20"/>
      <c r="H11" s="20"/>
    </row>
    <row r="12" customFormat="false" ht="30" hidden="false" customHeight="true" outlineLevel="0" collapsed="false">
      <c r="B12" s="8" t="n">
        <v>6</v>
      </c>
      <c r="C12" s="19" t="s">
        <v>15</v>
      </c>
      <c r="D12" s="8" t="n">
        <v>10</v>
      </c>
      <c r="E12" s="20" t="s">
        <v>35</v>
      </c>
      <c r="F12" s="20"/>
      <c r="G12" s="20"/>
      <c r="H12" s="20"/>
    </row>
    <row r="13" customFormat="false" ht="30" hidden="false" customHeight="true" outlineLevel="0" collapsed="false">
      <c r="B13" s="8" t="n">
        <v>7</v>
      </c>
      <c r="C13" s="19" t="s">
        <v>16</v>
      </c>
      <c r="D13" s="8" t="n">
        <v>10</v>
      </c>
      <c r="E13" s="20" t="s">
        <v>36</v>
      </c>
      <c r="F13" s="20"/>
      <c r="G13" s="20"/>
      <c r="H13" s="20"/>
    </row>
    <row r="14" customFormat="false" ht="15" hidden="false" customHeight="true" outlineLevel="0" collapsed="false">
      <c r="B14" s="14"/>
      <c r="C14" s="15" t="s">
        <v>37</v>
      </c>
      <c r="D14" s="15" t="n">
        <v>100</v>
      </c>
      <c r="E14" s="14"/>
      <c r="F14" s="14"/>
      <c r="G14" s="14"/>
      <c r="H14" s="14"/>
    </row>
    <row r="16" customFormat="false" ht="15" hidden="false" customHeight="true" outlineLevel="0" collapsed="false">
      <c r="B16" s="16" t="s">
        <v>38</v>
      </c>
    </row>
    <row r="17" customFormat="false" ht="25.5" hidden="false" customHeight="true" outlineLevel="0" collapsed="false">
      <c r="B17" s="21" t="s">
        <v>39</v>
      </c>
      <c r="C17" s="21"/>
      <c r="D17" s="21"/>
      <c r="E17" s="21"/>
      <c r="F17" s="21"/>
      <c r="G17" s="21"/>
      <c r="H17" s="21"/>
    </row>
    <row r="18" customFormat="false" ht="25.5" hidden="false" customHeight="true" outlineLevel="0" collapsed="false">
      <c r="B18" s="21" t="s">
        <v>40</v>
      </c>
      <c r="C18" s="21"/>
      <c r="D18" s="21"/>
      <c r="E18" s="21"/>
      <c r="F18" s="21"/>
      <c r="G18" s="21"/>
      <c r="H18" s="21"/>
    </row>
    <row r="19" customFormat="false" ht="25.5" hidden="false" customHeight="true" outlineLevel="0" collapsed="false">
      <c r="B19" s="21" t="s">
        <v>41</v>
      </c>
      <c r="C19" s="21"/>
      <c r="D19" s="21"/>
      <c r="E19" s="21"/>
      <c r="F19" s="21"/>
      <c r="G19" s="21"/>
      <c r="H19" s="21"/>
    </row>
    <row r="20" customFormat="false" ht="25.5" hidden="false" customHeight="true" outlineLevel="0" collapsed="false">
      <c r="B20" s="21" t="s">
        <v>42</v>
      </c>
      <c r="C20" s="21"/>
      <c r="D20" s="21"/>
      <c r="E20" s="21"/>
      <c r="F20" s="21"/>
      <c r="G20" s="21"/>
      <c r="H20" s="21"/>
    </row>
    <row r="21" customFormat="false" ht="25.5" hidden="false" customHeight="true" outlineLevel="0" collapsed="false">
      <c r="B21" s="21" t="s">
        <v>43</v>
      </c>
      <c r="C21" s="21"/>
      <c r="D21" s="21"/>
      <c r="E21" s="21"/>
      <c r="F21" s="21"/>
      <c r="G21" s="21"/>
      <c r="H21" s="21"/>
    </row>
  </sheetData>
  <mergeCells count="14">
    <mergeCell ref="A2:G2"/>
    <mergeCell ref="B4:H4"/>
    <mergeCell ref="E7:H7"/>
    <mergeCell ref="E8:H8"/>
    <mergeCell ref="E9:H9"/>
    <mergeCell ref="E10:H10"/>
    <mergeCell ref="E11:H11"/>
    <mergeCell ref="E12:H12"/>
    <mergeCell ref="E13:H13"/>
    <mergeCell ref="B17:H17"/>
    <mergeCell ref="B18:H18"/>
    <mergeCell ref="B19:H19"/>
    <mergeCell ref="B20:H20"/>
    <mergeCell ref="B21:H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N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7421875" defaultRowHeight="15" zeroHeight="false" outlineLevelRow="0" outlineLevelCol="0"/>
  <cols>
    <col collapsed="false" customWidth="true" hidden="false" outlineLevel="0" max="1" min="1" style="1" width="2.96"/>
    <col collapsed="false" customWidth="true" hidden="false" outlineLevel="0" max="2" min="2" style="1" width="16.01"/>
    <col collapsed="false" customWidth="true" hidden="false" outlineLevel="0" max="3" min="3" style="1" width="11.97"/>
    <col collapsed="false" customWidth="true" hidden="false" outlineLevel="0" max="4" min="4" style="1" width="16.01"/>
    <col collapsed="false" customWidth="true" hidden="false" outlineLevel="0" max="5" min="5" style="1" width="20.05"/>
    <col collapsed="false" customWidth="true" hidden="false" outlineLevel="0" max="6" min="6" style="1" width="18.03"/>
    <col collapsed="false" customWidth="true" hidden="false" outlineLevel="0" max="7" min="7" style="1" width="16.01"/>
    <col collapsed="false" customWidth="true" hidden="false" outlineLevel="0" max="8" min="8" style="1" width="13.99"/>
    <col collapsed="false" customWidth="true" hidden="false" outlineLevel="0" max="9" min="9" style="1" width="11.97"/>
    <col collapsed="false" customWidth="true" hidden="false" outlineLevel="0" max="10" min="10" style="1" width="14.93"/>
    <col collapsed="false" customWidth="true" hidden="false" outlineLevel="0" max="11" min="11" style="1" width="16.01"/>
    <col collapsed="false" customWidth="true" hidden="false" outlineLevel="0" max="13" min="13" style="1" width="46"/>
    <col collapsed="false" customWidth="true" hidden="false" outlineLevel="0" max="14" min="14" style="1" width="14"/>
  </cols>
  <sheetData>
    <row r="2" customFormat="false" ht="25.5" hidden="false" customHeight="true" outlineLevel="0" collapsed="false">
      <c r="A2" s="2" t="s">
        <v>44</v>
      </c>
      <c r="B2" s="2"/>
      <c r="C2" s="2"/>
      <c r="D2" s="2"/>
      <c r="E2" s="2"/>
      <c r="F2" s="2"/>
      <c r="G2" s="2"/>
      <c r="H2" s="2"/>
      <c r="I2" s="2"/>
      <c r="J2" s="2"/>
      <c r="M2" s="22" t="s">
        <v>45</v>
      </c>
      <c r="N2" s="23"/>
    </row>
    <row r="3" customFormat="false" ht="15" hidden="false" customHeight="true" outlineLevel="0" collapsed="false">
      <c r="B3" s="3" t="s">
        <v>46</v>
      </c>
      <c r="C3" s="3"/>
      <c r="D3" s="3"/>
      <c r="E3" s="3"/>
      <c r="F3" s="3"/>
      <c r="G3" s="3"/>
      <c r="H3" s="3"/>
      <c r="I3" s="3"/>
      <c r="J3" s="3"/>
      <c r="K3" s="3"/>
      <c r="M3" s="23" t="s">
        <v>47</v>
      </c>
      <c r="N3" s="23" t="n">
        <v>0.97</v>
      </c>
    </row>
    <row r="4" customFormat="false" ht="41.25" hidden="false" customHeight="true" outlineLevel="0" collapsed="false">
      <c r="M4" s="23" t="s">
        <v>48</v>
      </c>
      <c r="N4" s="23"/>
    </row>
    <row r="5" customFormat="false" ht="31.5" hidden="false" customHeight="true" outlineLevel="0" collapsed="false">
      <c r="B5" s="7" t="s">
        <v>49</v>
      </c>
      <c r="C5" s="7" t="s">
        <v>50</v>
      </c>
      <c r="D5" s="7" t="s">
        <v>51</v>
      </c>
      <c r="E5" s="7" t="s">
        <v>52</v>
      </c>
      <c r="F5" s="7" t="s">
        <v>53</v>
      </c>
      <c r="G5" s="7" t="s">
        <v>54</v>
      </c>
      <c r="H5" s="7" t="s">
        <v>55</v>
      </c>
      <c r="I5" s="7" t="s">
        <v>56</v>
      </c>
      <c r="J5" s="7" t="s">
        <v>57</v>
      </c>
      <c r="K5" s="7" t="s">
        <v>58</v>
      </c>
      <c r="M5" s="23" t="s">
        <v>59</v>
      </c>
      <c r="N5" s="23"/>
    </row>
    <row r="6" customFormat="false" ht="15" hidden="false" customHeight="true" outlineLevel="0" collapsed="false">
      <c r="B6" s="24" t="s">
        <v>60</v>
      </c>
      <c r="C6" s="24" t="n">
        <v>950075</v>
      </c>
      <c r="D6" s="24" t="n">
        <f aca="false">ROUND($C6*$N$3*$N$6,0)</f>
        <v>258040</v>
      </c>
      <c r="E6" s="24" t="n">
        <f aca="false">ROUND($C6*$N$3*$N$7,0)</f>
        <v>248825</v>
      </c>
      <c r="F6" s="24" t="n">
        <f aca="false">ROUND($C6*$N$3*$N$8,0)</f>
        <v>184315</v>
      </c>
      <c r="G6" s="24" t="n">
        <f aca="false">ROUND($C6*$N$3*$N$9,0)</f>
        <v>46079</v>
      </c>
      <c r="H6" s="24" t="n">
        <f aca="false">ROUND($C6*$N$3*$N$10,0)</f>
        <v>110589</v>
      </c>
      <c r="I6" s="24" t="n">
        <f aca="false">ROUND($C6*$N$3*$N$11,0)</f>
        <v>73726</v>
      </c>
      <c r="J6" s="25" t="n">
        <f aca="false">IF(SUM(D6:I6)=0,"",SUM(D6:I6))</f>
        <v>921574</v>
      </c>
      <c r="K6" s="24" t="s">
        <v>61</v>
      </c>
      <c r="M6" s="23" t="s">
        <v>62</v>
      </c>
      <c r="N6" s="23" t="n">
        <v>0.28</v>
      </c>
    </row>
    <row r="7" customFormat="false" ht="15" hidden="false" customHeight="true" outlineLevel="0" collapsed="false">
      <c r="B7" s="24" t="s">
        <v>63</v>
      </c>
      <c r="C7" s="24" t="n">
        <v>253816</v>
      </c>
      <c r="D7" s="24" t="n">
        <f aca="false">ROUND($C7*$N$3*$N$6,0)</f>
        <v>68936</v>
      </c>
      <c r="E7" s="24" t="n">
        <f aca="false">ROUND($C7*$N$3*$N$7,0)</f>
        <v>66474</v>
      </c>
      <c r="F7" s="24" t="n">
        <f aca="false">ROUND($C7*$N$3*$N$8,0)</f>
        <v>49240</v>
      </c>
      <c r="G7" s="24" t="n">
        <f aca="false">ROUND($C7*$N$3*$N$9,0)</f>
        <v>12310</v>
      </c>
      <c r="H7" s="24" t="n">
        <f aca="false">ROUND($C7*$N$3*$N$10,0)</f>
        <v>29544</v>
      </c>
      <c r="I7" s="24" t="n">
        <f aca="false">ROUND($C7*$N$3*$N$11,0)</f>
        <v>19696</v>
      </c>
      <c r="J7" s="25" t="n">
        <f aca="false">IF(SUM(D7:I7)=0,"",SUM(D7:I7))</f>
        <v>246200</v>
      </c>
      <c r="K7" s="24" t="s">
        <v>61</v>
      </c>
      <c r="M7" s="23" t="s">
        <v>64</v>
      </c>
      <c r="N7" s="23" t="n">
        <v>0.27</v>
      </c>
    </row>
    <row r="8" customFormat="false" ht="15" hidden="false" customHeight="true" outlineLevel="0" collapsed="false">
      <c r="B8" s="24" t="s">
        <v>65</v>
      </c>
      <c r="C8" s="24" t="n">
        <v>1439806</v>
      </c>
      <c r="D8" s="24" t="n">
        <f aca="false">ROUND($C8*$N$3*$N$6,0)</f>
        <v>391051</v>
      </c>
      <c r="E8" s="24" t="n">
        <f aca="false">ROUND($C8*$N$3*$N$7,0)</f>
        <v>377085</v>
      </c>
      <c r="F8" s="24" t="n">
        <f aca="false">ROUND($C8*$N$3*$N$8,0)</f>
        <v>279322</v>
      </c>
      <c r="G8" s="24" t="n">
        <f aca="false">ROUND($C8*$N$3*$N$9,0)</f>
        <v>69831</v>
      </c>
      <c r="H8" s="24" t="n">
        <f aca="false">ROUND($C8*$N$3*$N$10,0)</f>
        <v>167593</v>
      </c>
      <c r="I8" s="24" t="n">
        <f aca="false">ROUND($C8*$N$3*$N$11,0)</f>
        <v>111729</v>
      </c>
      <c r="J8" s="25" t="n">
        <f aca="false">IF(SUM(D8:I8)=0,"",SUM(D8:I8))</f>
        <v>1396611</v>
      </c>
      <c r="K8" s="24" t="s">
        <v>61</v>
      </c>
      <c r="M8" s="23" t="s">
        <v>66</v>
      </c>
      <c r="N8" s="23" t="n">
        <v>0.2</v>
      </c>
    </row>
    <row r="9" customFormat="false" ht="15" hidden="false" customHeight="true" outlineLevel="0" collapsed="false">
      <c r="B9" s="24" t="s">
        <v>67</v>
      </c>
      <c r="C9" s="24" t="n">
        <v>738804</v>
      </c>
      <c r="D9" s="24" t="n">
        <f aca="false">ROUND($C9*$N$3*$N$6,0)</f>
        <v>200659</v>
      </c>
      <c r="E9" s="24" t="n">
        <f aca="false">ROUND($C9*$N$3*$N$7,0)</f>
        <v>193493</v>
      </c>
      <c r="F9" s="24" t="n">
        <f aca="false">ROUND($C9*$N$3*$N$8,0)</f>
        <v>143328</v>
      </c>
      <c r="G9" s="24" t="n">
        <f aca="false">ROUND($C9*$N$3*$N$9,0)</f>
        <v>35832</v>
      </c>
      <c r="H9" s="24" t="n">
        <f aca="false">ROUND($C9*$N$3*$N$10,0)</f>
        <v>85997</v>
      </c>
      <c r="I9" s="24" t="n">
        <f aca="false">ROUND($C9*$N$3*$N$11,0)</f>
        <v>57331</v>
      </c>
      <c r="J9" s="25" t="n">
        <f aca="false">IF(SUM(D9:I9)=0,"",SUM(D9:I9))</f>
        <v>716640</v>
      </c>
      <c r="K9" s="24" t="s">
        <v>61</v>
      </c>
      <c r="M9" s="23" t="s">
        <v>68</v>
      </c>
      <c r="N9" s="23" t="n">
        <v>0.05</v>
      </c>
    </row>
    <row r="10" customFormat="false" ht="15" hidden="false" customHeight="true" outlineLevel="0" collapsed="false">
      <c r="B10" s="24" t="s">
        <v>69</v>
      </c>
      <c r="C10" s="24" t="n">
        <v>482162</v>
      </c>
      <c r="D10" s="24" t="n">
        <f aca="false">ROUND($C10*$N$3*$N$6,0)</f>
        <v>130955</v>
      </c>
      <c r="E10" s="24" t="n">
        <f aca="false">ROUND($C10*$N$3*$N$7,0)</f>
        <v>126278</v>
      </c>
      <c r="F10" s="24" t="n">
        <f aca="false">ROUND($C10*$N$3*$N$8,0)</f>
        <v>93539</v>
      </c>
      <c r="G10" s="24" t="n">
        <f aca="false">ROUND($C10*$N$3*$N$9,0)</f>
        <v>23385</v>
      </c>
      <c r="H10" s="24" t="n">
        <f aca="false">ROUND($C10*$N$3*$N$10,0)</f>
        <v>56124</v>
      </c>
      <c r="I10" s="24" t="n">
        <f aca="false">ROUND($C10*$N$3*$N$11,0)</f>
        <v>37416</v>
      </c>
      <c r="J10" s="25" t="n">
        <f aca="false">IF(SUM(D10:I10)=0,"",SUM(D10:I10))</f>
        <v>467697</v>
      </c>
      <c r="K10" s="24" t="s">
        <v>61</v>
      </c>
      <c r="M10" s="23" t="s">
        <v>70</v>
      </c>
      <c r="N10" s="23" t="n">
        <v>0.12</v>
      </c>
    </row>
    <row r="11" customFormat="false" ht="15" hidden="false" customHeight="true" outlineLevel="0" collapsed="false">
      <c r="B11" s="24" t="s">
        <v>71</v>
      </c>
      <c r="C11" s="24" t="n">
        <v>1394144</v>
      </c>
      <c r="D11" s="24" t="n">
        <f aca="false">ROUND($C11*$N$3*$N$6,0)</f>
        <v>378650</v>
      </c>
      <c r="E11" s="24" t="n">
        <f aca="false">ROUND($C11*$N$3*$N$7,0)</f>
        <v>365126</v>
      </c>
      <c r="F11" s="24" t="n">
        <f aca="false">ROUND($C11*$N$3*$N$8,0)</f>
        <v>270464</v>
      </c>
      <c r="G11" s="24" t="n">
        <f aca="false">ROUND($C11*$N$3*$N$9,0)</f>
        <v>67616</v>
      </c>
      <c r="H11" s="24" t="n">
        <f aca="false">ROUND($C11*$N$3*$N$10,0)</f>
        <v>162278</v>
      </c>
      <c r="I11" s="24" t="n">
        <f aca="false">ROUND($C11*$N$3*$N$11,0)</f>
        <v>108186</v>
      </c>
      <c r="J11" s="25" t="n">
        <f aca="false">IF(SUM(D11:I11)=0,"",SUM(D11:I11))</f>
        <v>1352320</v>
      </c>
      <c r="K11" s="24" t="s">
        <v>61</v>
      </c>
      <c r="M11" s="23" t="s">
        <v>72</v>
      </c>
      <c r="N11" s="23" t="n">
        <v>0.08</v>
      </c>
    </row>
    <row r="12" customFormat="false" ht="15" hidden="false" customHeight="true" outlineLevel="0" collapsed="false">
      <c r="B12" s="24" t="s">
        <v>73</v>
      </c>
      <c r="C12" s="24" t="n">
        <v>1008183</v>
      </c>
      <c r="D12" s="24" t="n">
        <f aca="false">ROUND($C12*$N$3*$N$6,0)</f>
        <v>273823</v>
      </c>
      <c r="E12" s="24" t="n">
        <f aca="false">ROUND($C12*$N$3*$N$7,0)</f>
        <v>264043</v>
      </c>
      <c r="F12" s="24" t="n">
        <f aca="false">ROUND($C12*$N$3*$N$8,0)</f>
        <v>195588</v>
      </c>
      <c r="G12" s="24" t="n">
        <f aca="false">ROUND($C12*$N$3*$N$9,0)</f>
        <v>48897</v>
      </c>
      <c r="H12" s="24" t="n">
        <f aca="false">ROUND($C12*$N$3*$N$10,0)</f>
        <v>117353</v>
      </c>
      <c r="I12" s="24" t="n">
        <f aca="false">ROUND($C12*$N$3*$N$11,0)</f>
        <v>78235</v>
      </c>
      <c r="J12" s="25" t="n">
        <f aca="false">IF(SUM(D12:I12)=0,"",SUM(D12:I12))</f>
        <v>977939</v>
      </c>
      <c r="K12" s="24" t="s">
        <v>61</v>
      </c>
      <c r="M12" s="23"/>
      <c r="N12" s="23"/>
    </row>
    <row r="13" customFormat="false" ht="68.25" hidden="false" customHeight="true" outlineLevel="0" collapsed="false">
      <c r="B13" s="24" t="s">
        <v>74</v>
      </c>
      <c r="C13" s="24" t="n">
        <v>1517542</v>
      </c>
      <c r="D13" s="24" t="n">
        <f aca="false">ROUND($C13*$N$3*$N$6,0)</f>
        <v>412164</v>
      </c>
      <c r="E13" s="24" t="n">
        <f aca="false">ROUND($C13*$N$3*$N$7,0)</f>
        <v>397444</v>
      </c>
      <c r="F13" s="24" t="n">
        <f aca="false">ROUND($C13*$N$3*$N$8,0)</f>
        <v>294403</v>
      </c>
      <c r="G13" s="24" t="n">
        <f aca="false">ROUND($C13*$N$3*$N$9,0)</f>
        <v>73601</v>
      </c>
      <c r="H13" s="24" t="n">
        <f aca="false">ROUND($C13*$N$3*$N$10,0)</f>
        <v>176642</v>
      </c>
      <c r="I13" s="24" t="n">
        <f aca="false">ROUND($C13*$N$3*$N$11,0)</f>
        <v>117761</v>
      </c>
      <c r="J13" s="25" t="n">
        <f aca="false">IF(SUM(D13:I13)=0,"",SUM(D13:I13))</f>
        <v>1472015</v>
      </c>
      <c r="K13" s="24" t="s">
        <v>61</v>
      </c>
      <c r="M13" s="23" t="s">
        <v>75</v>
      </c>
      <c r="N13" s="23"/>
    </row>
    <row r="14" customFormat="false" ht="54.75" hidden="false" customHeight="true" outlineLevel="0" collapsed="false">
      <c r="B14" s="24" t="s">
        <v>76</v>
      </c>
      <c r="C14" s="24" t="n">
        <v>1253938</v>
      </c>
      <c r="D14" s="24" t="n">
        <f aca="false">ROUND($C14*$N$3*$N$6,0)</f>
        <v>340570</v>
      </c>
      <c r="E14" s="24" t="n">
        <f aca="false">ROUND($C14*$N$3*$N$7,0)</f>
        <v>328406</v>
      </c>
      <c r="F14" s="24" t="n">
        <f aca="false">ROUND($C14*$N$3*$N$8,0)</f>
        <v>243264</v>
      </c>
      <c r="G14" s="24" t="n">
        <f aca="false">ROUND($C14*$N$3*$N$9,0)</f>
        <v>60816</v>
      </c>
      <c r="H14" s="24" t="n">
        <f aca="false">ROUND($C14*$N$3*$N$10,0)</f>
        <v>145958</v>
      </c>
      <c r="I14" s="24" t="n">
        <f aca="false">ROUND($C14*$N$3*$N$11,0)</f>
        <v>97306</v>
      </c>
      <c r="J14" s="25" t="n">
        <f aca="false">IF(SUM(D14:I14)=0,"",SUM(D14:I14))</f>
        <v>1216320</v>
      </c>
      <c r="K14" s="24" t="s">
        <v>61</v>
      </c>
      <c r="M14" s="23" t="s">
        <v>77</v>
      </c>
      <c r="N14" s="23"/>
    </row>
    <row r="15" customFormat="false" ht="15" hidden="false" customHeight="true" outlineLevel="0" collapsed="false">
      <c r="B15" s="24" t="s">
        <v>78</v>
      </c>
      <c r="C15" s="24" t="n">
        <v>887142</v>
      </c>
      <c r="D15" s="24" t="n">
        <f aca="false">ROUND($C15*$N$3*$N$6,0)</f>
        <v>240948</v>
      </c>
      <c r="E15" s="24" t="n">
        <f aca="false">ROUND($C15*$N$3*$N$7,0)</f>
        <v>232342</v>
      </c>
      <c r="F15" s="24" t="n">
        <f aca="false">ROUND($C15*$N$3*$N$8,0)</f>
        <v>172106</v>
      </c>
      <c r="G15" s="24" t="n">
        <f aca="false">ROUND($C15*$N$3*$N$9,0)</f>
        <v>43026</v>
      </c>
      <c r="H15" s="24" t="n">
        <f aca="false">ROUND($C15*$N$3*$N$10,0)</f>
        <v>103263</v>
      </c>
      <c r="I15" s="24" t="n">
        <f aca="false">ROUND($C15*$N$3*$N$11,0)</f>
        <v>68842</v>
      </c>
      <c r="J15" s="25" t="n">
        <f aca="false">IF(SUM(D15:I15)=0,"",SUM(D15:I15))</f>
        <v>860527</v>
      </c>
      <c r="K15" s="24" t="s">
        <v>61</v>
      </c>
    </row>
    <row r="16" customFormat="false" ht="15" hidden="false" customHeight="true" outlineLevel="0" collapsed="false">
      <c r="B16" s="24" t="s">
        <v>79</v>
      </c>
      <c r="C16" s="24" t="n">
        <v>771639</v>
      </c>
      <c r="D16" s="24" t="n">
        <f aca="false">ROUND($C16*$N$3*$N$6,0)</f>
        <v>209577</v>
      </c>
      <c r="E16" s="24" t="n">
        <f aca="false">ROUND($C16*$N$3*$N$7,0)</f>
        <v>202092</v>
      </c>
      <c r="F16" s="24" t="n">
        <f aca="false">ROUND($C16*$N$3*$N$8,0)</f>
        <v>149698</v>
      </c>
      <c r="G16" s="24" t="n">
        <f aca="false">ROUND($C16*$N$3*$N$9,0)</f>
        <v>37424</v>
      </c>
      <c r="H16" s="24" t="n">
        <f aca="false">ROUND($C16*$N$3*$N$10,0)</f>
        <v>89819</v>
      </c>
      <c r="I16" s="24" t="n">
        <f aca="false">ROUND($C16*$N$3*$N$11,0)</f>
        <v>59879</v>
      </c>
      <c r="J16" s="25" t="n">
        <f aca="false">IF(SUM(D16:I16)=0,"",SUM(D16:I16))</f>
        <v>748489</v>
      </c>
      <c r="K16" s="24" t="s">
        <v>61</v>
      </c>
    </row>
    <row r="17" customFormat="false" ht="23.25" hidden="false" customHeight="true" outlineLevel="0" collapsed="false">
      <c r="B17" s="24" t="s">
        <v>80</v>
      </c>
      <c r="C17" s="24" t="n">
        <v>555114</v>
      </c>
      <c r="D17" s="24" t="n">
        <f aca="false">ROUND($C17*$N$3*$N$6,0)</f>
        <v>150769</v>
      </c>
      <c r="E17" s="24" t="n">
        <f aca="false">ROUND($C17*$N$3*$N$7,0)</f>
        <v>145384</v>
      </c>
      <c r="F17" s="24" t="n">
        <f aca="false">ROUND($C17*$N$3*$N$8,0)</f>
        <v>107692</v>
      </c>
      <c r="G17" s="24" t="n">
        <f aca="false">ROUND($C17*$N$3*$N$9,0)</f>
        <v>26923</v>
      </c>
      <c r="H17" s="24" t="n">
        <f aca="false">ROUND($C17*$N$3*$N$10,0)</f>
        <v>64615</v>
      </c>
      <c r="I17" s="24" t="n">
        <f aca="false">ROUND($C17*$N$3*$N$11,0)</f>
        <v>43077</v>
      </c>
      <c r="J17" s="25" t="n">
        <f aca="false">IF(SUM(D17:I17)=0,"",SUM(D17:I17))</f>
        <v>538460</v>
      </c>
      <c r="K17" s="24" t="s">
        <v>61</v>
      </c>
    </row>
    <row r="18" customFormat="false" ht="15" hidden="false" customHeight="true" outlineLevel="0" collapsed="false">
      <c r="B18" s="24" t="s">
        <v>81</v>
      </c>
      <c r="C18" s="24" t="n">
        <v>615000</v>
      </c>
      <c r="D18" s="24" t="n">
        <f aca="false">ROUND($C18*$N$3*$N$6,0)</f>
        <v>167034</v>
      </c>
      <c r="E18" s="24" t="n">
        <f aca="false">ROUND($C18*$N$3*$N$7,0)</f>
        <v>161069</v>
      </c>
      <c r="F18" s="24" t="n">
        <f aca="false">ROUND($C18*$N$3*$N$8,0)</f>
        <v>119310</v>
      </c>
      <c r="G18" s="24" t="n">
        <f aca="false">ROUND($C18*$N$3*$N$9,0)</f>
        <v>29828</v>
      </c>
      <c r="H18" s="24" t="n">
        <f aca="false">ROUND($C18*$N$3*$N$10,0)</f>
        <v>71586</v>
      </c>
      <c r="I18" s="24" t="n">
        <f aca="false">ROUND($C18*$N$3*$N$11,0)</f>
        <v>47724</v>
      </c>
      <c r="J18" s="25" t="n">
        <f aca="false">IF(SUM(D18:I18)=0,"",SUM(D18:I18))</f>
        <v>596551</v>
      </c>
      <c r="K18" s="24" t="s">
        <v>61</v>
      </c>
    </row>
    <row r="19" customFormat="false" ht="15" hidden="false" customHeight="true" outlineLevel="0" collapsed="false">
      <c r="B19" s="24" t="s">
        <v>82</v>
      </c>
      <c r="C19" s="24" t="n">
        <v>612491</v>
      </c>
      <c r="D19" s="24" t="n">
        <f aca="false">ROUND($C19*$N$3*$N$6,0)</f>
        <v>166353</v>
      </c>
      <c r="E19" s="24" t="n">
        <f aca="false">ROUND($C19*$N$3*$N$7,0)</f>
        <v>160411</v>
      </c>
      <c r="F19" s="24" t="n">
        <f aca="false">ROUND($C19*$N$3*$N$8,0)</f>
        <v>118823</v>
      </c>
      <c r="G19" s="24" t="n">
        <f aca="false">ROUND($C19*$N$3*$N$9,0)</f>
        <v>29706</v>
      </c>
      <c r="H19" s="24" t="n">
        <f aca="false">ROUND($C19*$N$3*$N$10,0)</f>
        <v>71294</v>
      </c>
      <c r="I19" s="24" t="n">
        <f aca="false">ROUND($C19*$N$3*$N$11,0)</f>
        <v>47529</v>
      </c>
      <c r="J19" s="25" t="n">
        <f aca="false">IF(SUM(D19:I19)=0,"",SUM(D19:I19))</f>
        <v>594116</v>
      </c>
      <c r="K19" s="24" t="s">
        <v>61</v>
      </c>
    </row>
    <row r="20" customFormat="false" ht="15" hidden="false" customHeight="true" outlineLevel="0" collapsed="false">
      <c r="B20" s="24" t="s">
        <v>83</v>
      </c>
      <c r="C20" s="24" t="n">
        <v>928500</v>
      </c>
      <c r="D20" s="24" t="n">
        <f aca="false">ROUND($C20*$N$3*$N$6,0)</f>
        <v>252181</v>
      </c>
      <c r="E20" s="24" t="n">
        <f aca="false">ROUND($C20*$N$3*$N$7,0)</f>
        <v>243174</v>
      </c>
      <c r="F20" s="24" t="n">
        <f aca="false">ROUND($C20*$N$3*$N$8,0)</f>
        <v>180129</v>
      </c>
      <c r="G20" s="24" t="n">
        <f aca="false">ROUND($C20*$N$3*$N$9,0)</f>
        <v>45032</v>
      </c>
      <c r="H20" s="24" t="n">
        <f aca="false">ROUND($C20*$N$3*$N$10,0)</f>
        <v>108077</v>
      </c>
      <c r="I20" s="24" t="n">
        <f aca="false">ROUND($C20*$N$3*$N$11,0)</f>
        <v>72052</v>
      </c>
      <c r="J20" s="25" t="n">
        <f aca="false">IF(SUM(D20:I20)=0,"",SUM(D20:I20))</f>
        <v>900645</v>
      </c>
      <c r="K20" s="24" t="s">
        <v>61</v>
      </c>
    </row>
    <row r="21" customFormat="false" ht="15" hidden="false" customHeight="true" outlineLevel="0" collapsed="false">
      <c r="B21" s="24" t="s">
        <v>84</v>
      </c>
      <c r="C21" s="24" t="n">
        <v>1311619</v>
      </c>
      <c r="D21" s="24" t="n">
        <f aca="false">ROUND($C21*$N$3*$N$6,0)</f>
        <v>356236</v>
      </c>
      <c r="E21" s="24" t="n">
        <f aca="false">ROUND($C21*$N$3*$N$7,0)</f>
        <v>343513</v>
      </c>
      <c r="F21" s="24" t="n">
        <f aca="false">ROUND($C21*$N$3*$N$8,0)</f>
        <v>254454</v>
      </c>
      <c r="G21" s="24" t="n">
        <f aca="false">ROUND($C21*$N$3*$N$9,0)</f>
        <v>63614</v>
      </c>
      <c r="H21" s="24" t="n">
        <f aca="false">ROUND($C21*$N$3*$N$10,0)</f>
        <v>152672</v>
      </c>
      <c r="I21" s="24" t="n">
        <f aca="false">ROUND($C21*$N$3*$N$11,0)</f>
        <v>101782</v>
      </c>
      <c r="J21" s="25" t="n">
        <f aca="false">IF(SUM(D21:I21)=0,"",SUM(D21:I21))</f>
        <v>1272271</v>
      </c>
      <c r="K21" s="24" t="s">
        <v>61</v>
      </c>
    </row>
    <row r="22" customFormat="false" ht="15" hidden="false" customHeight="true" outlineLevel="0" collapsed="false">
      <c r="B22" s="24" t="s">
        <v>85</v>
      </c>
      <c r="C22" s="24" t="n">
        <v>831688</v>
      </c>
      <c r="D22" s="24" t="n">
        <f aca="false">ROUND($C22*$N$3*$N$6,0)</f>
        <v>225886</v>
      </c>
      <c r="E22" s="24" t="n">
        <f aca="false">ROUND($C22*$N$3*$N$7,0)</f>
        <v>217819</v>
      </c>
      <c r="F22" s="24" t="n">
        <f aca="false">ROUND($C22*$N$3*$N$8,0)</f>
        <v>161347</v>
      </c>
      <c r="G22" s="24" t="n">
        <f aca="false">ROUND($C22*$N$3*$N$9,0)</f>
        <v>40337</v>
      </c>
      <c r="H22" s="24" t="n">
        <f aca="false">ROUND($C22*$N$3*$N$10,0)</f>
        <v>96808</v>
      </c>
      <c r="I22" s="24" t="n">
        <f aca="false">ROUND($C22*$N$3*$N$11,0)</f>
        <v>64539</v>
      </c>
      <c r="J22" s="25" t="n">
        <f aca="false">IF(SUM(D22:I22)=0,"",SUM(D22:I22))</f>
        <v>806736</v>
      </c>
      <c r="K22" s="24" t="s">
        <v>61</v>
      </c>
    </row>
    <row r="23" customFormat="false" ht="15" hidden="false" customHeight="true" outlineLevel="0" collapsed="false">
      <c r="B23" s="24" t="s">
        <v>86</v>
      </c>
      <c r="C23" s="24" t="n">
        <v>1892550</v>
      </c>
      <c r="D23" s="24" t="n">
        <f aca="false">ROUND($C23*$N$3*$N$6,0)</f>
        <v>514017</v>
      </c>
      <c r="E23" s="24" t="n">
        <f aca="false">ROUND($C23*$N$3*$N$7,0)</f>
        <v>495659</v>
      </c>
      <c r="F23" s="24" t="n">
        <f aca="false">ROUND($C23*$N$3*$N$8,0)</f>
        <v>367155</v>
      </c>
      <c r="G23" s="24" t="n">
        <f aca="false">ROUND($C23*$N$3*$N$9,0)</f>
        <v>91789</v>
      </c>
      <c r="H23" s="24" t="n">
        <f aca="false">ROUND($C23*$N$3*$N$10,0)</f>
        <v>220293</v>
      </c>
      <c r="I23" s="24" t="n">
        <f aca="false">ROUND($C23*$N$3*$N$11,0)</f>
        <v>146862</v>
      </c>
      <c r="J23" s="25" t="n">
        <f aca="false">IF(SUM(D23:I23)=0,"",SUM(D23:I23))</f>
        <v>1835775</v>
      </c>
      <c r="K23" s="24" t="s">
        <v>61</v>
      </c>
    </row>
    <row r="24" customFormat="false" ht="15" hidden="false" customHeight="true" outlineLevel="0" collapsed="false">
      <c r="B24" s="24" t="s">
        <v>87</v>
      </c>
      <c r="C24" s="24" t="n">
        <v>957423</v>
      </c>
      <c r="D24" s="24" t="n">
        <f aca="false">ROUND($C24*$N$3*$N$6,0)</f>
        <v>260036</v>
      </c>
      <c r="E24" s="24" t="n">
        <f aca="false">ROUND($C24*$N$3*$N$7,0)</f>
        <v>250749</v>
      </c>
      <c r="F24" s="24" t="n">
        <f aca="false">ROUND($C24*$N$3*$N$8,0)</f>
        <v>185740</v>
      </c>
      <c r="G24" s="24" t="n">
        <f aca="false">ROUND($C24*$N$3*$N$9,0)</f>
        <v>46435</v>
      </c>
      <c r="H24" s="24" t="n">
        <f aca="false">ROUND($C24*$N$3*$N$10,0)</f>
        <v>111444</v>
      </c>
      <c r="I24" s="24" t="n">
        <f aca="false">ROUND($C24*$N$3*$N$11,0)</f>
        <v>74296</v>
      </c>
      <c r="J24" s="25" t="n">
        <f aca="false">IF(SUM(D24:I24)=0,"",SUM(D24:I24))</f>
        <v>928700</v>
      </c>
      <c r="K24" s="24" t="s">
        <v>61</v>
      </c>
    </row>
    <row r="25" customFormat="false" ht="15" hidden="false" customHeight="true" outlineLevel="0" collapsed="false">
      <c r="B25" s="24" t="s">
        <v>88</v>
      </c>
      <c r="C25" s="24" t="n">
        <v>660955</v>
      </c>
      <c r="D25" s="24" t="n">
        <f aca="false">ROUND($C25*$N$3*$N$6,0)</f>
        <v>179515</v>
      </c>
      <c r="E25" s="24" t="n">
        <f aca="false">ROUND($C25*$N$3*$N$7,0)</f>
        <v>173104</v>
      </c>
      <c r="F25" s="24" t="n">
        <f aca="false">ROUND($C25*$N$3*$N$8,0)</f>
        <v>128225</v>
      </c>
      <c r="G25" s="24" t="n">
        <f aca="false">ROUND($C25*$N$3*$N$9,0)</f>
        <v>32056</v>
      </c>
      <c r="H25" s="24" t="n">
        <f aca="false">ROUND($C25*$N$3*$N$10,0)</f>
        <v>76935</v>
      </c>
      <c r="I25" s="24" t="n">
        <f aca="false">ROUND($C25*$N$3*$N$11,0)</f>
        <v>51290</v>
      </c>
      <c r="J25" s="25" t="n">
        <f aca="false">IF(SUM(D25:I25)=0,"",SUM(D25:I25))</f>
        <v>641125</v>
      </c>
      <c r="K25" s="24" t="s">
        <v>61</v>
      </c>
    </row>
    <row r="26" customFormat="false" ht="15" hidden="false" customHeight="true" outlineLevel="0" collapsed="false">
      <c r="B26" s="24" t="s">
        <v>89</v>
      </c>
      <c r="C26" s="24" t="n">
        <v>931218</v>
      </c>
      <c r="D26" s="24" t="n">
        <f aca="false">ROUND($C26*$N$3*$N$6,0)</f>
        <v>252919</v>
      </c>
      <c r="E26" s="24" t="n">
        <f aca="false">ROUND($C26*$N$3*$N$7,0)</f>
        <v>243886</v>
      </c>
      <c r="F26" s="24" t="n">
        <f aca="false">ROUND($C26*$N$3*$N$8,0)</f>
        <v>180656</v>
      </c>
      <c r="G26" s="24" t="n">
        <f aca="false">ROUND($C26*$N$3*$N$9,0)</f>
        <v>45164</v>
      </c>
      <c r="H26" s="24" t="n">
        <f aca="false">ROUND($C26*$N$3*$N$10,0)</f>
        <v>108394</v>
      </c>
      <c r="I26" s="24" t="n">
        <f aca="false">ROUND($C26*$N$3*$N$11,0)</f>
        <v>72263</v>
      </c>
      <c r="J26" s="25" t="n">
        <f aca="false">IF(SUM(D26:I26)=0,"",SUM(D26:I26))</f>
        <v>903282</v>
      </c>
      <c r="K26" s="24" t="s">
        <v>61</v>
      </c>
    </row>
    <row r="27" customFormat="false" ht="15" hidden="false" customHeight="true" outlineLevel="0" collapsed="false">
      <c r="B27" s="24" t="s">
        <v>90</v>
      </c>
      <c r="C27" s="24" t="n">
        <v>214102</v>
      </c>
      <c r="D27" s="24" t="n">
        <f aca="false">ROUND($C27*$N$3*$N$6,0)</f>
        <v>58150</v>
      </c>
      <c r="E27" s="24" t="n">
        <f aca="false">ROUND($C27*$N$3*$N$7,0)</f>
        <v>56073</v>
      </c>
      <c r="F27" s="24" t="n">
        <f aca="false">ROUND($C27*$N$3*$N$8,0)</f>
        <v>41536</v>
      </c>
      <c r="G27" s="24" t="n">
        <f aca="false">ROUND($C27*$N$3*$N$9,0)</f>
        <v>10384</v>
      </c>
      <c r="H27" s="24" t="n">
        <f aca="false">ROUND($C27*$N$3*$N$10,0)</f>
        <v>24921</v>
      </c>
      <c r="I27" s="24" t="n">
        <f aca="false">ROUND($C27*$N$3*$N$11,0)</f>
        <v>16614</v>
      </c>
      <c r="J27" s="25" t="n">
        <f aca="false">IF(SUM(D27:I27)=0,"",SUM(D27:I27))</f>
        <v>207678</v>
      </c>
      <c r="K27" s="24" t="s">
        <v>61</v>
      </c>
    </row>
    <row r="28" customFormat="false" ht="23.25" hidden="false" customHeight="true" outlineLevel="0" collapsed="false">
      <c r="B28" s="24" t="s">
        <v>91</v>
      </c>
      <c r="C28" s="24" t="n">
        <v>295358</v>
      </c>
      <c r="D28" s="24" t="n">
        <f aca="false">ROUND($C28*$N$3*$N$6,0)</f>
        <v>80219</v>
      </c>
      <c r="E28" s="24" t="n">
        <f aca="false">ROUND($C28*$N$3*$N$7,0)</f>
        <v>77354</v>
      </c>
      <c r="F28" s="24" t="n">
        <f aca="false">ROUND($C28*$N$3*$N$8,0)</f>
        <v>57299</v>
      </c>
      <c r="G28" s="24" t="n">
        <f aca="false">ROUND($C28*$N$3*$N$9,0)</f>
        <v>14325</v>
      </c>
      <c r="H28" s="24" t="n">
        <f aca="false">ROUND($C28*$N$3*$N$10,0)</f>
        <v>34380</v>
      </c>
      <c r="I28" s="24" t="n">
        <f aca="false">ROUND($C28*$N$3*$N$11,0)</f>
        <v>22920</v>
      </c>
      <c r="J28" s="25" t="n">
        <f aca="false">IF(SUM(D28:I28)=0,"",SUM(D28:I28))</f>
        <v>286497</v>
      </c>
      <c r="K28" s="24" t="s">
        <v>61</v>
      </c>
    </row>
    <row r="29" customFormat="false" ht="15" hidden="false" customHeight="true" outlineLevel="0" collapsed="false">
      <c r="B29" s="24" t="s">
        <v>92</v>
      </c>
      <c r="C29" s="24" t="n">
        <v>679632</v>
      </c>
      <c r="D29" s="24" t="n">
        <f aca="false">ROUND($C29*$N$3*$N$6,0)</f>
        <v>184588</v>
      </c>
      <c r="E29" s="24" t="n">
        <f aca="false">ROUND($C29*$N$3*$N$7,0)</f>
        <v>177996</v>
      </c>
      <c r="F29" s="24" t="n">
        <f aca="false">ROUND($C29*$N$3*$N$8,0)</f>
        <v>131849</v>
      </c>
      <c r="G29" s="24" t="n">
        <f aca="false">ROUND($C29*$N$3*$N$9,0)</f>
        <v>32962</v>
      </c>
      <c r="H29" s="24" t="n">
        <f aca="false">ROUND($C29*$N$3*$N$10,0)</f>
        <v>79109</v>
      </c>
      <c r="I29" s="24" t="n">
        <f aca="false">ROUND($C29*$N$3*$N$11,0)</f>
        <v>52739</v>
      </c>
      <c r="J29" s="25" t="n">
        <f aca="false">IF(SUM(D29:I29)=0,"",SUM(D29:I29))</f>
        <v>659243</v>
      </c>
      <c r="K29" s="24" t="s">
        <v>61</v>
      </c>
    </row>
    <row r="30" customFormat="false" ht="15" hidden="false" customHeight="true" outlineLevel="0" collapsed="false">
      <c r="B30" s="24" t="s">
        <v>93</v>
      </c>
      <c r="C30" s="24" t="n">
        <v>471418</v>
      </c>
      <c r="D30" s="24" t="n">
        <f aca="false">ROUND($C30*$N$3*$N$6,0)</f>
        <v>128037</v>
      </c>
      <c r="E30" s="24" t="n">
        <f aca="false">ROUND($C30*$N$3*$N$7,0)</f>
        <v>123464</v>
      </c>
      <c r="F30" s="24" t="n">
        <f aca="false">ROUND($C30*$N$3*$N$8,0)</f>
        <v>91455</v>
      </c>
      <c r="G30" s="24" t="n">
        <f aca="false">ROUND($C30*$N$3*$N$9,0)</f>
        <v>22864</v>
      </c>
      <c r="H30" s="24" t="n">
        <f aca="false">ROUND($C30*$N$3*$N$10,0)</f>
        <v>54873</v>
      </c>
      <c r="I30" s="24" t="n">
        <f aca="false">ROUND($C30*$N$3*$N$11,0)</f>
        <v>36582</v>
      </c>
      <c r="J30" s="25" t="n">
        <f aca="false">IF(SUM(D30:I30)=0,"",SUM(D30:I30))</f>
        <v>457275</v>
      </c>
      <c r="K30" s="24" t="s">
        <v>61</v>
      </c>
    </row>
    <row r="31" customFormat="false" ht="15" hidden="false" customHeight="true" outlineLevel="0" collapsed="false">
      <c r="B31" s="24" t="s">
        <v>94</v>
      </c>
      <c r="C31" s="24" t="n">
        <v>924952</v>
      </c>
      <c r="D31" s="24" t="n">
        <f aca="false">ROUND($C31*$N$3*$N$6,0)</f>
        <v>251217</v>
      </c>
      <c r="E31" s="24" t="n">
        <f aca="false">ROUND($C31*$N$3*$N$7,0)</f>
        <v>242245</v>
      </c>
      <c r="F31" s="24" t="n">
        <f aca="false">ROUND($C31*$N$3*$N$8,0)</f>
        <v>179441</v>
      </c>
      <c r="G31" s="24" t="n">
        <f aca="false">ROUND($C31*$N$3*$N$9,0)</f>
        <v>44860</v>
      </c>
      <c r="H31" s="24" t="n">
        <f aca="false">ROUND($C31*$N$3*$N$10,0)</f>
        <v>107664</v>
      </c>
      <c r="I31" s="24" t="n">
        <f aca="false">ROUND($C31*$N$3*$N$11,0)</f>
        <v>71776</v>
      </c>
      <c r="J31" s="25" t="n">
        <f aca="false">IF(SUM(D31:I31)=0,"",SUM(D31:I31))</f>
        <v>897203</v>
      </c>
      <c r="K31" s="24" t="s">
        <v>61</v>
      </c>
    </row>
    <row r="32" customFormat="false" ht="15" hidden="false" customHeight="true" outlineLevel="0" collapsed="false">
      <c r="B32" s="24" t="s">
        <v>95</v>
      </c>
      <c r="C32" s="24" t="n">
        <v>167304</v>
      </c>
      <c r="D32" s="24" t="n">
        <f aca="false">ROUND($C32*$N$3*$N$6,0)</f>
        <v>45440</v>
      </c>
      <c r="E32" s="24" t="n">
        <f aca="false">ROUND($C32*$N$3*$N$7,0)</f>
        <v>43817</v>
      </c>
      <c r="F32" s="24" t="n">
        <f aca="false">ROUND($C32*$N$3*$N$8,0)</f>
        <v>32457</v>
      </c>
      <c r="G32" s="24" t="n">
        <f aca="false">ROUND($C32*$N$3*$N$9,0)</f>
        <v>8114</v>
      </c>
      <c r="H32" s="24" t="n">
        <f aca="false">ROUND($C32*$N$3*$N$10,0)</f>
        <v>19474</v>
      </c>
      <c r="I32" s="24" t="n">
        <f aca="false">ROUND($C32*$N$3*$N$11,0)</f>
        <v>12983</v>
      </c>
      <c r="J32" s="25" t="n">
        <f aca="false">IF(SUM(D32:I32)=0,"",SUM(D32:I32))</f>
        <v>162285</v>
      </c>
      <c r="K32" s="24" t="s">
        <v>61</v>
      </c>
    </row>
    <row r="33" customFormat="false" ht="15" hidden="false" customHeight="true" outlineLevel="0" collapsed="false">
      <c r="B33" s="24" t="s">
        <v>96</v>
      </c>
      <c r="C33" s="24" t="n">
        <v>1326335</v>
      </c>
      <c r="D33" s="24" t="n">
        <f aca="false">ROUND($C33*$N$3*$N$6,0)</f>
        <v>360233</v>
      </c>
      <c r="E33" s="24" t="n">
        <f aca="false">ROUND($C33*$N$3*$N$7,0)</f>
        <v>347367</v>
      </c>
      <c r="F33" s="24" t="n">
        <f aca="false">ROUND($C33*$N$3*$N$8,0)</f>
        <v>257309</v>
      </c>
      <c r="G33" s="24" t="n">
        <f aca="false">ROUND($C33*$N$3*$N$9,0)</f>
        <v>64327</v>
      </c>
      <c r="H33" s="24" t="n">
        <f aca="false">ROUND($C33*$N$3*$N$10,0)</f>
        <v>154385</v>
      </c>
      <c r="I33" s="24" t="n">
        <f aca="false">ROUND($C33*$N$3*$N$11,0)</f>
        <v>102924</v>
      </c>
      <c r="J33" s="25" t="n">
        <f aca="false">IF(SUM(D33:I33)=0,"",SUM(D33:I33))</f>
        <v>1286545</v>
      </c>
      <c r="K33" s="24" t="s">
        <v>61</v>
      </c>
    </row>
    <row r="34" customFormat="false" ht="15" hidden="false" customHeight="true" outlineLevel="0" collapsed="false">
      <c r="B34" s="24" t="s">
        <v>97</v>
      </c>
      <c r="C34" s="24" t="n">
        <v>686133</v>
      </c>
      <c r="D34" s="24" t="n">
        <f aca="false">ROUND($C34*$N$3*$N$6,0)</f>
        <v>186354</v>
      </c>
      <c r="E34" s="24" t="n">
        <f aca="false">ROUND($C34*$N$3*$N$7,0)</f>
        <v>179698</v>
      </c>
      <c r="F34" s="24" t="n">
        <f aca="false">ROUND($C34*$N$3*$N$8,0)</f>
        <v>133110</v>
      </c>
      <c r="G34" s="24" t="n">
        <f aca="false">ROUND($C34*$N$3*$N$9,0)</f>
        <v>33277</v>
      </c>
      <c r="H34" s="24" t="n">
        <f aca="false">ROUND($C34*$N$3*$N$10,0)</f>
        <v>79866</v>
      </c>
      <c r="I34" s="24" t="n">
        <f aca="false">ROUND($C34*$N$3*$N$11,0)</f>
        <v>53244</v>
      </c>
      <c r="J34" s="25" t="n">
        <f aca="false">IF(SUM(D34:I34)=0,"",SUM(D34:I34))</f>
        <v>665549</v>
      </c>
      <c r="K34" s="24" t="s">
        <v>61</v>
      </c>
    </row>
    <row r="35" customFormat="false" ht="15" hidden="false" customHeight="true" outlineLevel="0" collapsed="false">
      <c r="B35" s="24" t="s">
        <v>98</v>
      </c>
      <c r="C35" s="24" t="n">
        <v>1066888</v>
      </c>
      <c r="D35" s="24" t="n">
        <f aca="false">ROUND($C35*$N$3*$N$6,0)</f>
        <v>289767</v>
      </c>
      <c r="E35" s="24" t="n">
        <f aca="false">ROUND($C35*$N$3*$N$7,0)</f>
        <v>279418</v>
      </c>
      <c r="F35" s="24" t="n">
        <f aca="false">ROUND($C35*$N$3*$N$8,0)</f>
        <v>206976</v>
      </c>
      <c r="G35" s="24" t="n">
        <f aca="false">ROUND($C35*$N$3*$N$9,0)</f>
        <v>51744</v>
      </c>
      <c r="H35" s="24" t="n">
        <f aca="false">ROUND($C35*$N$3*$N$10,0)</f>
        <v>124186</v>
      </c>
      <c r="I35" s="24" t="n">
        <f aca="false">ROUND($C35*$N$3*$N$11,0)</f>
        <v>82791</v>
      </c>
      <c r="J35" s="25" t="n">
        <f aca="false">IF(SUM(D35:I35)=0,"",SUM(D35:I35))</f>
        <v>1034882</v>
      </c>
      <c r="K35" s="24" t="s">
        <v>61</v>
      </c>
    </row>
    <row r="36" customFormat="false" ht="15" hidden="false" customHeight="true" outlineLevel="0" collapsed="false">
      <c r="B36" s="24" t="s">
        <v>99</v>
      </c>
      <c r="C36" s="24" t="n">
        <v>1042137</v>
      </c>
      <c r="D36" s="24" t="n">
        <f aca="false">ROUND($C36*$N$3*$N$6,0)</f>
        <v>283044</v>
      </c>
      <c r="E36" s="24" t="n">
        <f aca="false">ROUND($C36*$N$3*$N$7,0)</f>
        <v>272936</v>
      </c>
      <c r="F36" s="24" t="n">
        <f aca="false">ROUND($C36*$N$3*$N$8,0)</f>
        <v>202175</v>
      </c>
      <c r="G36" s="24" t="n">
        <f aca="false">ROUND($C36*$N$3*$N$9,0)</f>
        <v>50544</v>
      </c>
      <c r="H36" s="24" t="n">
        <f aca="false">ROUND($C36*$N$3*$N$10,0)</f>
        <v>121305</v>
      </c>
      <c r="I36" s="24" t="n">
        <f aca="false">ROUND($C36*$N$3*$N$11,0)</f>
        <v>80870</v>
      </c>
      <c r="J36" s="25" t="n">
        <f aca="false">IF(SUM(D36:I36)=0,"",SUM(D36:I36))</f>
        <v>1010874</v>
      </c>
      <c r="K36" s="24" t="s">
        <v>61</v>
      </c>
    </row>
    <row r="37" customFormat="false" ht="15" hidden="false" customHeight="true" outlineLevel="0" collapsed="false">
      <c r="B37" s="24" t="s">
        <v>100</v>
      </c>
      <c r="C37" s="24" t="n">
        <v>1327929</v>
      </c>
      <c r="D37" s="24" t="n">
        <f aca="false">ROUND($C37*$N$3*$N$6,0)</f>
        <v>360666</v>
      </c>
      <c r="E37" s="24" t="n">
        <f aca="false">ROUND($C37*$N$3*$N$7,0)</f>
        <v>347785</v>
      </c>
      <c r="F37" s="24" t="n">
        <f aca="false">ROUND($C37*$N$3*$N$8,0)</f>
        <v>257618</v>
      </c>
      <c r="G37" s="24" t="n">
        <f aca="false">ROUND($C37*$N$3*$N$9,0)</f>
        <v>64405</v>
      </c>
      <c r="H37" s="24" t="n">
        <f aca="false">ROUND($C37*$N$3*$N$10,0)</f>
        <v>154571</v>
      </c>
      <c r="I37" s="24" t="n">
        <f aca="false">ROUND($C37*$N$3*$N$11,0)</f>
        <v>103047</v>
      </c>
      <c r="J37" s="25" t="n">
        <f aca="false">IF(SUM(D37:I37)=0,"",SUM(D37:I37))</f>
        <v>1288092</v>
      </c>
      <c r="K37" s="24" t="s">
        <v>61</v>
      </c>
    </row>
    <row r="38" customFormat="false" ht="15" hidden="false" customHeight="true" outlineLevel="0" collapsed="false">
      <c r="B38" s="24" t="s">
        <v>101</v>
      </c>
      <c r="C38" s="24" t="n">
        <v>1736617</v>
      </c>
      <c r="D38" s="24" t="n">
        <f aca="false">ROUND($C38*$N$3*$N$6,0)</f>
        <v>471665</v>
      </c>
      <c r="E38" s="24" t="n">
        <f aca="false">ROUND($C38*$N$3*$N$7,0)</f>
        <v>454820</v>
      </c>
      <c r="F38" s="24" t="n">
        <f aca="false">ROUND($C38*$N$3*$N$8,0)</f>
        <v>336904</v>
      </c>
      <c r="G38" s="24" t="n">
        <f aca="false">ROUND($C38*$N$3*$N$9,0)</f>
        <v>84226</v>
      </c>
      <c r="H38" s="24" t="n">
        <f aca="false">ROUND($C38*$N$3*$N$10,0)</f>
        <v>202142</v>
      </c>
      <c r="I38" s="24" t="n">
        <f aca="false">ROUND($C38*$N$3*$N$11,0)</f>
        <v>134761</v>
      </c>
      <c r="J38" s="25" t="n">
        <f aca="false">IF(SUM(D38:I38)=0,"",SUM(D38:I38))</f>
        <v>1684518</v>
      </c>
      <c r="K38" s="24" t="s">
        <v>61</v>
      </c>
    </row>
    <row r="39" customFormat="false" ht="15" hidden="false" customHeight="true" outlineLevel="0" collapsed="false">
      <c r="B39" s="24" t="s">
        <v>102</v>
      </c>
      <c r="C39" s="24" t="n">
        <v>659296</v>
      </c>
      <c r="D39" s="24" t="n">
        <f aca="false">ROUND($C39*$N$3*$N$6,0)</f>
        <v>179065</v>
      </c>
      <c r="E39" s="24" t="n">
        <f aca="false">ROUND($C39*$N$3*$N$7,0)</f>
        <v>172670</v>
      </c>
      <c r="F39" s="24" t="n">
        <f aca="false">ROUND($C39*$N$3*$N$8,0)</f>
        <v>127903</v>
      </c>
      <c r="G39" s="24" t="n">
        <f aca="false">ROUND($C39*$N$3*$N$9,0)</f>
        <v>31976</v>
      </c>
      <c r="H39" s="24" t="n">
        <f aca="false">ROUND($C39*$N$3*$N$10,0)</f>
        <v>76742</v>
      </c>
      <c r="I39" s="24" t="n">
        <f aca="false">ROUND($C39*$N$3*$N$11,0)</f>
        <v>51161</v>
      </c>
      <c r="J39" s="25" t="n">
        <f aca="false">IF(SUM(D39:I39)=0,"",SUM(D39:I39))</f>
        <v>639517</v>
      </c>
      <c r="K39" s="24" t="s">
        <v>61</v>
      </c>
    </row>
    <row r="40" customFormat="false" ht="15" hidden="false" customHeight="true" outlineLevel="0" collapsed="false">
      <c r="B40" s="24" t="s">
        <v>103</v>
      </c>
      <c r="C40" s="24" t="n">
        <v>1228686</v>
      </c>
      <c r="D40" s="24" t="n">
        <f aca="false">ROUND($C40*$N$3*$N$6,0)</f>
        <v>333711</v>
      </c>
      <c r="E40" s="24" t="n">
        <f aca="false">ROUND($C40*$N$3*$N$7,0)</f>
        <v>321793</v>
      </c>
      <c r="F40" s="24" t="n">
        <f aca="false">ROUND($C40*$N$3*$N$8,0)</f>
        <v>238365</v>
      </c>
      <c r="G40" s="24" t="n">
        <f aca="false">ROUND($C40*$N$3*$N$9,0)</f>
        <v>59591</v>
      </c>
      <c r="H40" s="24" t="n">
        <f aca="false">ROUND($C40*$N$3*$N$10,0)</f>
        <v>143019</v>
      </c>
      <c r="I40" s="24" t="n">
        <f aca="false">ROUND($C40*$N$3*$N$11,0)</f>
        <v>95346</v>
      </c>
      <c r="J40" s="25" t="n">
        <f aca="false">IF(SUM(D40:I40)=0,"",SUM(D40:I40))</f>
        <v>1191825</v>
      </c>
      <c r="K40" s="24" t="s">
        <v>61</v>
      </c>
    </row>
    <row r="41" customFormat="false" ht="15" hidden="false" customHeight="true" outlineLevel="0" collapsed="false">
      <c r="B41" s="24"/>
      <c r="C41" s="24"/>
      <c r="D41" s="24"/>
      <c r="E41" s="24"/>
      <c r="F41" s="24"/>
      <c r="G41" s="24"/>
      <c r="H41" s="24"/>
      <c r="I41" s="24"/>
      <c r="J41" s="25"/>
      <c r="K41" s="24"/>
    </row>
    <row r="42" customFormat="false" ht="15" hidden="false" customHeight="true" outlineLevel="0" collapsed="false">
      <c r="B42" s="24" t="s">
        <v>104</v>
      </c>
      <c r="C42" s="24" t="n">
        <f aca="false">SUM(C6:C40)</f>
        <v>31820596</v>
      </c>
      <c r="D42" s="24" t="n">
        <f aca="false">SUM(D6:D40)</f>
        <v>8642475</v>
      </c>
      <c r="E42" s="24" t="n">
        <f aca="false">SUM(E6:E40)</f>
        <v>8333812</v>
      </c>
      <c r="F42" s="24" t="n">
        <f aca="false">SUM(F6:F40)</f>
        <v>6173195</v>
      </c>
      <c r="G42" s="24" t="n">
        <f aca="false">SUM(G6:G40)</f>
        <v>1543300</v>
      </c>
      <c r="H42" s="24" t="n">
        <f aca="false">SUM(H6:H40)</f>
        <v>3703915</v>
      </c>
      <c r="I42" s="24" t="n">
        <f aca="false">SUM(I6:I40)</f>
        <v>2469279</v>
      </c>
      <c r="J42" s="25" t="n">
        <f aca="false">SUM(J6:J40)</f>
        <v>30865976</v>
      </c>
      <c r="K42" s="24"/>
    </row>
  </sheetData>
  <mergeCells count="2">
    <mergeCell ref="A2:J2"/>
    <mergeCell ref="B3:K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7421875" defaultRowHeight="15" zeroHeight="false" outlineLevelRow="0" outlineLevelCol="0"/>
  <cols>
    <col collapsed="false" customWidth="true" hidden="false" outlineLevel="0" max="1" min="1" style="1" width="2.96"/>
    <col collapsed="false" customWidth="true" hidden="false" outlineLevel="0" max="2" min="2" style="1" width="16.01"/>
    <col collapsed="false" customWidth="true" hidden="false" outlineLevel="0" max="3" min="3" style="1" width="20.05"/>
    <col collapsed="false" customWidth="true" hidden="false" outlineLevel="0" max="4" min="4" style="1" width="13.03"/>
    <col collapsed="false" customWidth="true" hidden="false" outlineLevel="0" max="5" min="5" style="1" width="18.03"/>
    <col collapsed="false" customWidth="true" hidden="false" outlineLevel="0" max="6" min="6" style="1" width="16.01"/>
    <col collapsed="false" customWidth="true" hidden="false" outlineLevel="0" max="7" min="7" style="1" width="18.03"/>
    <col collapsed="false" customWidth="true" hidden="false" outlineLevel="0" max="8" min="8" style="1" width="30"/>
    <col collapsed="false" customWidth="true" hidden="false" outlineLevel="0" max="10" min="10" style="1" width="60"/>
  </cols>
  <sheetData>
    <row r="2" customFormat="false" ht="99.75" hidden="false" customHeight="true" outlineLevel="0" collapsed="false">
      <c r="A2" s="2" t="s">
        <v>105</v>
      </c>
      <c r="B2" s="2"/>
      <c r="C2" s="2"/>
      <c r="D2" s="2"/>
      <c r="E2" s="2"/>
      <c r="F2" s="2"/>
      <c r="G2" s="2"/>
      <c r="J2" s="23" t="s">
        <v>106</v>
      </c>
    </row>
    <row r="3" customFormat="false" ht="15" hidden="false" customHeight="true" outlineLevel="0" collapsed="false">
      <c r="B3" s="3" t="s">
        <v>107</v>
      </c>
      <c r="C3" s="3"/>
      <c r="D3" s="3"/>
      <c r="E3" s="3"/>
      <c r="F3" s="3"/>
      <c r="G3" s="3"/>
      <c r="H3" s="3"/>
    </row>
    <row r="5" customFormat="false" ht="31.5" hidden="false" customHeight="true" outlineLevel="0" collapsed="false">
      <c r="B5" s="7" t="s">
        <v>49</v>
      </c>
      <c r="C5" s="7" t="s">
        <v>108</v>
      </c>
      <c r="D5" s="7" t="s">
        <v>109</v>
      </c>
      <c r="E5" s="7" t="s">
        <v>110</v>
      </c>
      <c r="F5" s="7" t="s">
        <v>111</v>
      </c>
      <c r="G5" s="7" t="s">
        <v>112</v>
      </c>
      <c r="H5" s="7" t="s">
        <v>113</v>
      </c>
    </row>
    <row r="6" customFormat="false" ht="24.75" hidden="false" customHeight="true" outlineLevel="0" collapsed="false">
      <c r="B6" s="24" t="s">
        <v>60</v>
      </c>
      <c r="C6" s="25" t="n">
        <f aca="false">IFERROR(INDEX(1_Generation_Inventory!$J$6:$J$40,MATCH(B6,1_Generation_Inventory!$B$6:$B$40,0)),"")</f>
        <v>921574</v>
      </c>
      <c r="D6" s="24" t="n">
        <f aca="false">IFERROR(ROUND(C6*0.7071,0),"")</f>
        <v>651645</v>
      </c>
      <c r="E6" s="24" t="n">
        <f aca="false">MAX(1,ROUND(1_Generation_Inventory!C6/500000,0))</f>
        <v>2</v>
      </c>
      <c r="F6" s="24" t="n">
        <f aca="false">ROUND(C6*0.75,0)</f>
        <v>691181</v>
      </c>
      <c r="G6" s="24" t="n">
        <f aca="false">D6</f>
        <v>651645</v>
      </c>
      <c r="H6" s="24" t="s">
        <v>114</v>
      </c>
    </row>
    <row r="7" customFormat="false" ht="57" hidden="false" customHeight="true" outlineLevel="0" collapsed="false">
      <c r="B7" s="24" t="s">
        <v>63</v>
      </c>
      <c r="C7" s="25" t="n">
        <f aca="false">IFERROR(INDEX(1_Generation_Inventory!$J$6:$J$40,MATCH(B7,1_Generation_Inventory!$B$6:$B$40,0)),"")</f>
        <v>246200</v>
      </c>
      <c r="D7" s="24" t="n">
        <f aca="false">IFERROR(ROUND(C7*0.7071,0),"")</f>
        <v>174088</v>
      </c>
      <c r="E7" s="24" t="n">
        <f aca="false">MAX(1,ROUND(1_Generation_Inventory!C7/500000,0))</f>
        <v>1</v>
      </c>
      <c r="F7" s="24" t="n">
        <f aca="false">ROUND(C7*0.75,0)</f>
        <v>184650</v>
      </c>
      <c r="G7" s="24" t="n">
        <f aca="false">D7</f>
        <v>174088</v>
      </c>
      <c r="H7" s="24" t="s">
        <v>114</v>
      </c>
    </row>
    <row r="8" customFormat="false" ht="57" hidden="false" customHeight="true" outlineLevel="0" collapsed="false">
      <c r="B8" s="24" t="s">
        <v>65</v>
      </c>
      <c r="C8" s="25" t="n">
        <f aca="false">IFERROR(INDEX(1_Generation_Inventory!$J$6:$J$40,MATCH(B8,1_Generation_Inventory!$B$6:$B$40,0)),"")</f>
        <v>1396611</v>
      </c>
      <c r="D8" s="24" t="n">
        <f aca="false">IFERROR(ROUND(C8*0.7071,0),"")</f>
        <v>987544</v>
      </c>
      <c r="E8" s="24" t="n">
        <f aca="false">MAX(1,ROUND(1_Generation_Inventory!C8/500000,0))</f>
        <v>3</v>
      </c>
      <c r="F8" s="24" t="n">
        <f aca="false">ROUND(C8*0.75,0)</f>
        <v>1047458</v>
      </c>
      <c r="G8" s="24" t="n">
        <f aca="false">D8</f>
        <v>987544</v>
      </c>
      <c r="H8" s="24" t="s">
        <v>114</v>
      </c>
    </row>
    <row r="9" customFormat="false" ht="57" hidden="false" customHeight="true" outlineLevel="0" collapsed="false">
      <c r="B9" s="24" t="s">
        <v>67</v>
      </c>
      <c r="C9" s="25" t="n">
        <f aca="false">IFERROR(INDEX(1_Generation_Inventory!$J$6:$J$40,MATCH(B9,1_Generation_Inventory!$B$6:$B$40,0)),"")</f>
        <v>716640</v>
      </c>
      <c r="D9" s="24" t="n">
        <f aca="false">IFERROR(ROUND(C9*0.7071,0),"")</f>
        <v>506736</v>
      </c>
      <c r="E9" s="24" t="n">
        <f aca="false">MAX(1,ROUND(1_Generation_Inventory!C9/500000,0))</f>
        <v>1</v>
      </c>
      <c r="F9" s="24" t="n">
        <f aca="false">ROUND(C9*0.75,0)</f>
        <v>537480</v>
      </c>
      <c r="G9" s="24" t="n">
        <f aca="false">D9</f>
        <v>506736</v>
      </c>
      <c r="H9" s="24" t="s">
        <v>114</v>
      </c>
    </row>
    <row r="10" customFormat="false" ht="57" hidden="false" customHeight="true" outlineLevel="0" collapsed="false">
      <c r="B10" s="24" t="s">
        <v>69</v>
      </c>
      <c r="C10" s="25" t="n">
        <f aca="false">IFERROR(INDEX(1_Generation_Inventory!$J$6:$J$40,MATCH(B10,1_Generation_Inventory!$B$6:$B$40,0)),"")</f>
        <v>467697</v>
      </c>
      <c r="D10" s="24" t="n">
        <f aca="false">IFERROR(ROUND(C10*0.7071,0),"")</f>
        <v>330709</v>
      </c>
      <c r="E10" s="24" t="n">
        <f aca="false">MAX(1,ROUND(1_Generation_Inventory!C10/500000,0))</f>
        <v>1</v>
      </c>
      <c r="F10" s="24" t="n">
        <f aca="false">ROUND(C10*0.75,0)</f>
        <v>350773</v>
      </c>
      <c r="G10" s="24" t="n">
        <f aca="false">D10</f>
        <v>330709</v>
      </c>
      <c r="H10" s="24" t="s">
        <v>114</v>
      </c>
    </row>
    <row r="11" customFormat="false" ht="57" hidden="false" customHeight="true" outlineLevel="0" collapsed="false">
      <c r="B11" s="24" t="s">
        <v>71</v>
      </c>
      <c r="C11" s="25" t="n">
        <f aca="false">IFERROR(INDEX(1_Generation_Inventory!$J$6:$J$40,MATCH(B11,1_Generation_Inventory!$B$6:$B$40,0)),"")</f>
        <v>1352320</v>
      </c>
      <c r="D11" s="24" t="n">
        <f aca="false">IFERROR(ROUND(C11*0.7071,0),"")</f>
        <v>956225</v>
      </c>
      <c r="E11" s="24" t="n">
        <f aca="false">MAX(1,ROUND(1_Generation_Inventory!C11/500000,0))</f>
        <v>3</v>
      </c>
      <c r="F11" s="24" t="n">
        <f aca="false">ROUND(C11*0.75,0)</f>
        <v>1014240</v>
      </c>
      <c r="G11" s="24" t="n">
        <f aca="false">D11</f>
        <v>956225</v>
      </c>
      <c r="H11" s="24" t="s">
        <v>114</v>
      </c>
    </row>
    <row r="12" customFormat="false" ht="57" hidden="false" customHeight="true" outlineLevel="0" collapsed="false">
      <c r="B12" s="24" t="s">
        <v>73</v>
      </c>
      <c r="C12" s="25" t="n">
        <f aca="false">IFERROR(INDEX(1_Generation_Inventory!$J$6:$J$40,MATCH(B12,1_Generation_Inventory!$B$6:$B$40,0)),"")</f>
        <v>977939</v>
      </c>
      <c r="D12" s="24" t="n">
        <f aca="false">IFERROR(ROUND(C12*0.7071,0),"")</f>
        <v>691501</v>
      </c>
      <c r="E12" s="24" t="n">
        <f aca="false">MAX(1,ROUND(1_Generation_Inventory!C12/500000,0))</f>
        <v>2</v>
      </c>
      <c r="F12" s="24" t="n">
        <f aca="false">ROUND(C12*0.75,0)</f>
        <v>733454</v>
      </c>
      <c r="G12" s="24" t="n">
        <f aca="false">D12</f>
        <v>691501</v>
      </c>
      <c r="H12" s="24" t="s">
        <v>114</v>
      </c>
    </row>
    <row r="13" customFormat="false" ht="57" hidden="false" customHeight="true" outlineLevel="0" collapsed="false">
      <c r="B13" s="24" t="s">
        <v>74</v>
      </c>
      <c r="C13" s="25" t="n">
        <f aca="false">IFERROR(INDEX(1_Generation_Inventory!$J$6:$J$40,MATCH(B13,1_Generation_Inventory!$B$6:$B$40,0)),"")</f>
        <v>1472015</v>
      </c>
      <c r="D13" s="24" t="n">
        <f aca="false">IFERROR(ROUND(C13*0.7071,0),"")</f>
        <v>1040862</v>
      </c>
      <c r="E13" s="24" t="n">
        <f aca="false">MAX(1,ROUND(1_Generation_Inventory!C13/500000,0))</f>
        <v>3</v>
      </c>
      <c r="F13" s="24" t="n">
        <f aca="false">ROUND(C13*0.75,0)</f>
        <v>1104011</v>
      </c>
      <c r="G13" s="24" t="n">
        <f aca="false">D13</f>
        <v>1040862</v>
      </c>
      <c r="H13" s="24" t="s">
        <v>114</v>
      </c>
    </row>
    <row r="14" customFormat="false" ht="57" hidden="false" customHeight="true" outlineLevel="0" collapsed="false">
      <c r="B14" s="24" t="s">
        <v>76</v>
      </c>
      <c r="C14" s="25" t="n">
        <f aca="false">IFERROR(INDEX(1_Generation_Inventory!$J$6:$J$40,MATCH(B14,1_Generation_Inventory!$B$6:$B$40,0)),"")</f>
        <v>1216320</v>
      </c>
      <c r="D14" s="24" t="n">
        <f aca="false">IFERROR(ROUND(C14*0.7071,0),"")</f>
        <v>860060</v>
      </c>
      <c r="E14" s="24" t="n">
        <f aca="false">MAX(1,ROUND(1_Generation_Inventory!C14/500000,0))</f>
        <v>3</v>
      </c>
      <c r="F14" s="24" t="n">
        <f aca="false">ROUND(C14*0.75,0)</f>
        <v>912240</v>
      </c>
      <c r="G14" s="24" t="n">
        <f aca="false">D14</f>
        <v>860060</v>
      </c>
      <c r="H14" s="24" t="s">
        <v>114</v>
      </c>
    </row>
    <row r="15" customFormat="false" ht="57" hidden="false" customHeight="true" outlineLevel="0" collapsed="false">
      <c r="B15" s="24" t="s">
        <v>78</v>
      </c>
      <c r="C15" s="25" t="n">
        <f aca="false">IFERROR(INDEX(1_Generation_Inventory!$J$6:$J$40,MATCH(B15,1_Generation_Inventory!$B$6:$B$40,0)),"")</f>
        <v>860527</v>
      </c>
      <c r="D15" s="24" t="n">
        <f aca="false">IFERROR(ROUND(C15*0.7071,0),"")</f>
        <v>608479</v>
      </c>
      <c r="E15" s="24" t="n">
        <f aca="false">MAX(1,ROUND(1_Generation_Inventory!C15/500000,0))</f>
        <v>2</v>
      </c>
      <c r="F15" s="24" t="n">
        <f aca="false">ROUND(C15*0.75,0)</f>
        <v>645395</v>
      </c>
      <c r="G15" s="24" t="n">
        <f aca="false">D15</f>
        <v>608479</v>
      </c>
      <c r="H15" s="24" t="s">
        <v>114</v>
      </c>
    </row>
    <row r="16" customFormat="false" ht="57" hidden="false" customHeight="true" outlineLevel="0" collapsed="false">
      <c r="B16" s="24" t="s">
        <v>79</v>
      </c>
      <c r="C16" s="25" t="n">
        <f aca="false">IFERROR(INDEX(1_Generation_Inventory!$J$6:$J$40,MATCH(B16,1_Generation_Inventory!$B$6:$B$40,0)),"")</f>
        <v>748489</v>
      </c>
      <c r="D16" s="24" t="n">
        <f aca="false">IFERROR(ROUND(C16*0.7071,0),"")</f>
        <v>529257</v>
      </c>
      <c r="E16" s="24" t="n">
        <f aca="false">MAX(1,ROUND(1_Generation_Inventory!C16/500000,0))</f>
        <v>2</v>
      </c>
      <c r="F16" s="24" t="n">
        <f aca="false">ROUND(C16*0.75,0)</f>
        <v>561367</v>
      </c>
      <c r="G16" s="24" t="n">
        <f aca="false">D16</f>
        <v>529257</v>
      </c>
      <c r="H16" s="24" t="s">
        <v>114</v>
      </c>
    </row>
    <row r="17" customFormat="false" ht="57" hidden="false" customHeight="true" outlineLevel="0" collapsed="false">
      <c r="B17" s="24" t="s">
        <v>80</v>
      </c>
      <c r="C17" s="25" t="n">
        <f aca="false">IFERROR(INDEX(1_Generation_Inventory!$J$6:$J$40,MATCH(B17,1_Generation_Inventory!$B$6:$B$40,0)),"")</f>
        <v>538460</v>
      </c>
      <c r="D17" s="24" t="n">
        <f aca="false">IFERROR(ROUND(C17*0.7071,0),"")</f>
        <v>380745</v>
      </c>
      <c r="E17" s="24" t="n">
        <f aca="false">MAX(1,ROUND(1_Generation_Inventory!C17/500000,0))</f>
        <v>1</v>
      </c>
      <c r="F17" s="24" t="n">
        <f aca="false">ROUND(C17*0.75,0)</f>
        <v>403845</v>
      </c>
      <c r="G17" s="24" t="n">
        <f aca="false">D17</f>
        <v>380745</v>
      </c>
      <c r="H17" s="24" t="s">
        <v>114</v>
      </c>
    </row>
    <row r="18" customFormat="false" ht="57" hidden="false" customHeight="true" outlineLevel="0" collapsed="false">
      <c r="B18" s="24" t="s">
        <v>81</v>
      </c>
      <c r="C18" s="25" t="n">
        <f aca="false">IFERROR(INDEX(1_Generation_Inventory!$J$6:$J$40,MATCH(B18,1_Generation_Inventory!$B$6:$B$40,0)),"")</f>
        <v>596551</v>
      </c>
      <c r="D18" s="24" t="n">
        <f aca="false">IFERROR(ROUND(C18*0.7071,0),"")</f>
        <v>421821</v>
      </c>
      <c r="E18" s="24" t="n">
        <f aca="false">MAX(1,ROUND(1_Generation_Inventory!C18/500000,0))</f>
        <v>1</v>
      </c>
      <c r="F18" s="24" t="n">
        <f aca="false">ROUND(C18*0.75,0)</f>
        <v>447413</v>
      </c>
      <c r="G18" s="24" t="n">
        <f aca="false">D18</f>
        <v>421821</v>
      </c>
      <c r="H18" s="24" t="s">
        <v>114</v>
      </c>
    </row>
    <row r="19" customFormat="false" ht="57" hidden="false" customHeight="true" outlineLevel="0" collapsed="false">
      <c r="B19" s="24" t="s">
        <v>82</v>
      </c>
      <c r="C19" s="25" t="n">
        <f aca="false">IFERROR(INDEX(1_Generation_Inventory!$J$6:$J$40,MATCH(B19,1_Generation_Inventory!$B$6:$B$40,0)),"")</f>
        <v>594116</v>
      </c>
      <c r="D19" s="24" t="n">
        <f aca="false">IFERROR(ROUND(C19*0.7071,0),"")</f>
        <v>420099</v>
      </c>
      <c r="E19" s="24" t="n">
        <f aca="false">MAX(1,ROUND(1_Generation_Inventory!C19/500000,0))</f>
        <v>1</v>
      </c>
      <c r="F19" s="24" t="n">
        <f aca="false">ROUND(C19*0.75,0)</f>
        <v>445587</v>
      </c>
      <c r="G19" s="24" t="n">
        <f aca="false">D19</f>
        <v>420099</v>
      </c>
      <c r="H19" s="24" t="s">
        <v>114</v>
      </c>
    </row>
    <row r="20" customFormat="false" ht="57" hidden="false" customHeight="true" outlineLevel="0" collapsed="false">
      <c r="B20" s="24" t="s">
        <v>83</v>
      </c>
      <c r="C20" s="25" t="n">
        <f aca="false">IFERROR(INDEX(1_Generation_Inventory!$J$6:$J$40,MATCH(B20,1_Generation_Inventory!$B$6:$B$40,0)),"")</f>
        <v>900645</v>
      </c>
      <c r="D20" s="24" t="n">
        <f aca="false">IFERROR(ROUND(C20*0.7071,0),"")</f>
        <v>636846</v>
      </c>
      <c r="E20" s="24" t="n">
        <f aca="false">MAX(1,ROUND(1_Generation_Inventory!C20/500000,0))</f>
        <v>2</v>
      </c>
      <c r="F20" s="24" t="n">
        <f aca="false">ROUND(C20*0.75,0)</f>
        <v>675484</v>
      </c>
      <c r="G20" s="24" t="n">
        <f aca="false">D20</f>
        <v>636846</v>
      </c>
      <c r="H20" s="24" t="s">
        <v>114</v>
      </c>
    </row>
    <row r="21" customFormat="false" ht="57" hidden="false" customHeight="true" outlineLevel="0" collapsed="false">
      <c r="B21" s="24" t="s">
        <v>84</v>
      </c>
      <c r="C21" s="25" t="n">
        <f aca="false">IFERROR(INDEX(1_Generation_Inventory!$J$6:$J$40,MATCH(B21,1_Generation_Inventory!$B$6:$B$40,0)),"")</f>
        <v>1272271</v>
      </c>
      <c r="D21" s="24" t="n">
        <f aca="false">IFERROR(ROUND(C21*0.7071,0),"")</f>
        <v>899623</v>
      </c>
      <c r="E21" s="24" t="n">
        <f aca="false">MAX(1,ROUND(1_Generation_Inventory!C21/500000,0))</f>
        <v>3</v>
      </c>
      <c r="F21" s="24" t="n">
        <f aca="false">ROUND(C21*0.75,0)</f>
        <v>954203</v>
      </c>
      <c r="G21" s="24" t="n">
        <f aca="false">D21</f>
        <v>899623</v>
      </c>
      <c r="H21" s="24" t="s">
        <v>114</v>
      </c>
    </row>
    <row r="22" customFormat="false" ht="57" hidden="false" customHeight="true" outlineLevel="0" collapsed="false">
      <c r="B22" s="24" t="s">
        <v>85</v>
      </c>
      <c r="C22" s="25" t="n">
        <f aca="false">IFERROR(INDEX(1_Generation_Inventory!$J$6:$J$40,MATCH(B22,1_Generation_Inventory!$B$6:$B$40,0)),"")</f>
        <v>806736</v>
      </c>
      <c r="D22" s="24" t="n">
        <f aca="false">IFERROR(ROUND(C22*0.7071,0),"")</f>
        <v>570443</v>
      </c>
      <c r="E22" s="24" t="n">
        <f aca="false">MAX(1,ROUND(1_Generation_Inventory!C22/500000,0))</f>
        <v>2</v>
      </c>
      <c r="F22" s="24" t="n">
        <f aca="false">ROUND(C22*0.75,0)</f>
        <v>605052</v>
      </c>
      <c r="G22" s="24" t="n">
        <f aca="false">D22</f>
        <v>570443</v>
      </c>
      <c r="H22" s="24" t="s">
        <v>114</v>
      </c>
    </row>
    <row r="23" customFormat="false" ht="57" hidden="false" customHeight="true" outlineLevel="0" collapsed="false">
      <c r="B23" s="24" t="s">
        <v>86</v>
      </c>
      <c r="C23" s="25" t="n">
        <f aca="false">IFERROR(INDEX(1_Generation_Inventory!$J$6:$J$40,MATCH(B23,1_Generation_Inventory!$B$6:$B$40,0)),"")</f>
        <v>1835775</v>
      </c>
      <c r="D23" s="24" t="n">
        <f aca="false">IFERROR(ROUND(C23*0.7071,0),"")</f>
        <v>1298077</v>
      </c>
      <c r="E23" s="24" t="n">
        <f aca="false">MAX(1,ROUND(1_Generation_Inventory!C23/500000,0))</f>
        <v>4</v>
      </c>
      <c r="F23" s="24" t="n">
        <f aca="false">ROUND(C23*0.75,0)</f>
        <v>1376831</v>
      </c>
      <c r="G23" s="24" t="n">
        <f aca="false">D23</f>
        <v>1298077</v>
      </c>
      <c r="H23" s="24" t="s">
        <v>114</v>
      </c>
    </row>
    <row r="24" customFormat="false" ht="57" hidden="false" customHeight="true" outlineLevel="0" collapsed="false">
      <c r="B24" s="24" t="s">
        <v>87</v>
      </c>
      <c r="C24" s="25" t="n">
        <f aca="false">IFERROR(INDEX(1_Generation_Inventory!$J$6:$J$40,MATCH(B24,1_Generation_Inventory!$B$6:$B$40,0)),"")</f>
        <v>928700</v>
      </c>
      <c r="D24" s="24" t="n">
        <f aca="false">IFERROR(ROUND(C24*0.7071,0),"")</f>
        <v>656684</v>
      </c>
      <c r="E24" s="24" t="n">
        <f aca="false">MAX(1,ROUND(1_Generation_Inventory!C24/500000,0))</f>
        <v>2</v>
      </c>
      <c r="F24" s="24" t="n">
        <f aca="false">ROUND(C24*0.75,0)</f>
        <v>696525</v>
      </c>
      <c r="G24" s="24" t="n">
        <f aca="false">D24</f>
        <v>656684</v>
      </c>
      <c r="H24" s="24" t="s">
        <v>114</v>
      </c>
    </row>
    <row r="25" customFormat="false" ht="57" hidden="false" customHeight="true" outlineLevel="0" collapsed="false">
      <c r="B25" s="24" t="s">
        <v>88</v>
      </c>
      <c r="C25" s="25" t="n">
        <f aca="false">IFERROR(INDEX(1_Generation_Inventory!$J$6:$J$40,MATCH(B25,1_Generation_Inventory!$B$6:$B$40,0)),"")</f>
        <v>641125</v>
      </c>
      <c r="D25" s="24" t="n">
        <f aca="false">IFERROR(ROUND(C25*0.7071,0),"")</f>
        <v>453339</v>
      </c>
      <c r="E25" s="24" t="n">
        <f aca="false">MAX(1,ROUND(1_Generation_Inventory!C25/500000,0))</f>
        <v>1</v>
      </c>
      <c r="F25" s="24" t="n">
        <f aca="false">ROUND(C25*0.75,0)</f>
        <v>480844</v>
      </c>
      <c r="G25" s="24" t="n">
        <f aca="false">D25</f>
        <v>453339</v>
      </c>
      <c r="H25" s="24" t="s">
        <v>114</v>
      </c>
    </row>
    <row r="26" customFormat="false" ht="57" hidden="false" customHeight="true" outlineLevel="0" collapsed="false">
      <c r="B26" s="24" t="s">
        <v>89</v>
      </c>
      <c r="C26" s="25" t="n">
        <f aca="false">IFERROR(INDEX(1_Generation_Inventory!$J$6:$J$40,MATCH(B26,1_Generation_Inventory!$B$6:$B$40,0)),"")</f>
        <v>903282</v>
      </c>
      <c r="D26" s="24" t="n">
        <f aca="false">IFERROR(ROUND(C26*0.7071,0),"")</f>
        <v>638711</v>
      </c>
      <c r="E26" s="24" t="n">
        <f aca="false">MAX(1,ROUND(1_Generation_Inventory!C26/500000,0))</f>
        <v>2</v>
      </c>
      <c r="F26" s="24" t="n">
        <f aca="false">ROUND(C26*0.75,0)</f>
        <v>677462</v>
      </c>
      <c r="G26" s="24" t="n">
        <f aca="false">D26</f>
        <v>638711</v>
      </c>
      <c r="H26" s="24" t="s">
        <v>114</v>
      </c>
    </row>
    <row r="27" customFormat="false" ht="57" hidden="false" customHeight="true" outlineLevel="0" collapsed="false">
      <c r="B27" s="24" t="s">
        <v>90</v>
      </c>
      <c r="C27" s="25" t="n">
        <f aca="false">IFERROR(INDEX(1_Generation_Inventory!$J$6:$J$40,MATCH(B27,1_Generation_Inventory!$B$6:$B$40,0)),"")</f>
        <v>207678</v>
      </c>
      <c r="D27" s="24" t="n">
        <f aca="false">IFERROR(ROUND(C27*0.7071,0),"")</f>
        <v>146849</v>
      </c>
      <c r="E27" s="24" t="n">
        <f aca="false">MAX(1,ROUND(1_Generation_Inventory!C27/500000,0))</f>
        <v>1</v>
      </c>
      <c r="F27" s="24" t="n">
        <f aca="false">ROUND(C27*0.75,0)</f>
        <v>155759</v>
      </c>
      <c r="G27" s="24" t="n">
        <f aca="false">D27</f>
        <v>146849</v>
      </c>
      <c r="H27" s="24" t="s">
        <v>114</v>
      </c>
    </row>
    <row r="28" customFormat="false" ht="57" hidden="false" customHeight="true" outlineLevel="0" collapsed="false">
      <c r="B28" s="24" t="s">
        <v>91</v>
      </c>
      <c r="C28" s="25" t="n">
        <f aca="false">IFERROR(INDEX(1_Generation_Inventory!$J$6:$J$40,MATCH(B28,1_Generation_Inventory!$B$6:$B$40,0)),"")</f>
        <v>286497</v>
      </c>
      <c r="D28" s="24" t="n">
        <f aca="false">IFERROR(ROUND(C28*0.7071,0),"")</f>
        <v>202582</v>
      </c>
      <c r="E28" s="24" t="n">
        <f aca="false">MAX(1,ROUND(1_Generation_Inventory!C28/500000,0))</f>
        <v>1</v>
      </c>
      <c r="F28" s="24" t="n">
        <f aca="false">ROUND(C28*0.75,0)</f>
        <v>214873</v>
      </c>
      <c r="G28" s="24" t="n">
        <f aca="false">D28</f>
        <v>202582</v>
      </c>
      <c r="H28" s="24" t="s">
        <v>114</v>
      </c>
    </row>
    <row r="29" customFormat="false" ht="57" hidden="false" customHeight="true" outlineLevel="0" collapsed="false">
      <c r="B29" s="24" t="s">
        <v>92</v>
      </c>
      <c r="C29" s="25" t="n">
        <f aca="false">IFERROR(INDEX(1_Generation_Inventory!$J$6:$J$40,MATCH(B29,1_Generation_Inventory!$B$6:$B$40,0)),"")</f>
        <v>659243</v>
      </c>
      <c r="D29" s="24" t="n">
        <f aca="false">IFERROR(ROUND(C29*0.7071,0),"")</f>
        <v>466151</v>
      </c>
      <c r="E29" s="24" t="n">
        <f aca="false">MAX(1,ROUND(1_Generation_Inventory!C29/500000,0))</f>
        <v>1</v>
      </c>
      <c r="F29" s="24" t="n">
        <f aca="false">ROUND(C29*0.75,0)</f>
        <v>494432</v>
      </c>
      <c r="G29" s="24" t="n">
        <f aca="false">D29</f>
        <v>466151</v>
      </c>
      <c r="H29" s="24" t="s">
        <v>114</v>
      </c>
    </row>
    <row r="30" customFormat="false" ht="57" hidden="false" customHeight="true" outlineLevel="0" collapsed="false">
      <c r="B30" s="24" t="s">
        <v>93</v>
      </c>
      <c r="C30" s="25" t="n">
        <f aca="false">IFERROR(INDEX(1_Generation_Inventory!$J$6:$J$40,MATCH(B30,1_Generation_Inventory!$B$6:$B$40,0)),"")</f>
        <v>457275</v>
      </c>
      <c r="D30" s="24" t="n">
        <f aca="false">IFERROR(ROUND(C30*0.7071,0),"")</f>
        <v>323339</v>
      </c>
      <c r="E30" s="24" t="n">
        <f aca="false">MAX(1,ROUND(1_Generation_Inventory!C30/500000,0))</f>
        <v>1</v>
      </c>
      <c r="F30" s="24" t="n">
        <f aca="false">ROUND(C30*0.75,0)</f>
        <v>342956</v>
      </c>
      <c r="G30" s="24" t="n">
        <f aca="false">D30</f>
        <v>323339</v>
      </c>
      <c r="H30" s="24" t="s">
        <v>114</v>
      </c>
    </row>
    <row r="31" customFormat="false" ht="57" hidden="false" customHeight="true" outlineLevel="0" collapsed="false">
      <c r="B31" s="24" t="s">
        <v>94</v>
      </c>
      <c r="C31" s="25" t="n">
        <f aca="false">IFERROR(INDEX(1_Generation_Inventory!$J$6:$J$40,MATCH(B31,1_Generation_Inventory!$B$6:$B$40,0)),"")</f>
        <v>897203</v>
      </c>
      <c r="D31" s="24" t="n">
        <f aca="false">IFERROR(ROUND(C31*0.7071,0),"")</f>
        <v>634412</v>
      </c>
      <c r="E31" s="24" t="n">
        <f aca="false">MAX(1,ROUND(1_Generation_Inventory!C31/500000,0))</f>
        <v>2</v>
      </c>
      <c r="F31" s="24" t="n">
        <f aca="false">ROUND(C31*0.75,0)</f>
        <v>672902</v>
      </c>
      <c r="G31" s="24" t="n">
        <f aca="false">D31</f>
        <v>634412</v>
      </c>
      <c r="H31" s="24" t="s">
        <v>114</v>
      </c>
    </row>
    <row r="32" customFormat="false" ht="57" hidden="false" customHeight="true" outlineLevel="0" collapsed="false">
      <c r="B32" s="24" t="s">
        <v>95</v>
      </c>
      <c r="C32" s="25" t="n">
        <f aca="false">IFERROR(INDEX(1_Generation_Inventory!$J$6:$J$40,MATCH(B32,1_Generation_Inventory!$B$6:$B$40,0)),"")</f>
        <v>162285</v>
      </c>
      <c r="D32" s="24" t="n">
        <f aca="false">IFERROR(ROUND(C32*0.7071,0),"")</f>
        <v>114752</v>
      </c>
      <c r="E32" s="24" t="n">
        <f aca="false">MAX(1,ROUND(1_Generation_Inventory!C32/500000,0))</f>
        <v>1</v>
      </c>
      <c r="F32" s="24" t="n">
        <f aca="false">ROUND(C32*0.75,0)</f>
        <v>121714</v>
      </c>
      <c r="G32" s="24" t="n">
        <f aca="false">D32</f>
        <v>114752</v>
      </c>
      <c r="H32" s="24" t="s">
        <v>114</v>
      </c>
    </row>
    <row r="33" customFormat="false" ht="57" hidden="false" customHeight="true" outlineLevel="0" collapsed="false">
      <c r="B33" s="24" t="s">
        <v>96</v>
      </c>
      <c r="C33" s="25" t="n">
        <f aca="false">IFERROR(INDEX(1_Generation_Inventory!$J$6:$J$40,MATCH(B33,1_Generation_Inventory!$B$6:$B$40,0)),"")</f>
        <v>1286545</v>
      </c>
      <c r="D33" s="24" t="n">
        <f aca="false">IFERROR(ROUND(C33*0.7071,0),"")</f>
        <v>909716</v>
      </c>
      <c r="E33" s="24" t="n">
        <f aca="false">MAX(1,ROUND(1_Generation_Inventory!C33/500000,0))</f>
        <v>3</v>
      </c>
      <c r="F33" s="24" t="n">
        <f aca="false">ROUND(C33*0.75,0)</f>
        <v>964909</v>
      </c>
      <c r="G33" s="24" t="n">
        <f aca="false">D33</f>
        <v>909716</v>
      </c>
      <c r="H33" s="24" t="s">
        <v>114</v>
      </c>
    </row>
    <row r="34" customFormat="false" ht="57" hidden="false" customHeight="true" outlineLevel="0" collapsed="false">
      <c r="B34" s="24" t="s">
        <v>97</v>
      </c>
      <c r="C34" s="25" t="n">
        <f aca="false">IFERROR(INDEX(1_Generation_Inventory!$J$6:$J$40,MATCH(B34,1_Generation_Inventory!$B$6:$B$40,0)),"")</f>
        <v>665549</v>
      </c>
      <c r="D34" s="24" t="n">
        <f aca="false">IFERROR(ROUND(C34*0.7071,0),"")</f>
        <v>470610</v>
      </c>
      <c r="E34" s="24" t="n">
        <f aca="false">MAX(1,ROUND(1_Generation_Inventory!C34/500000,0))</f>
        <v>1</v>
      </c>
      <c r="F34" s="24" t="n">
        <f aca="false">ROUND(C34*0.75,0)</f>
        <v>499162</v>
      </c>
      <c r="G34" s="24" t="n">
        <f aca="false">D34</f>
        <v>470610</v>
      </c>
      <c r="H34" s="24" t="s">
        <v>114</v>
      </c>
    </row>
    <row r="35" customFormat="false" ht="57" hidden="false" customHeight="true" outlineLevel="0" collapsed="false">
      <c r="B35" s="24" t="s">
        <v>98</v>
      </c>
      <c r="C35" s="25" t="n">
        <f aca="false">IFERROR(INDEX(1_Generation_Inventory!$J$6:$J$40,MATCH(B35,1_Generation_Inventory!$B$6:$B$40,0)),"")</f>
        <v>1034882</v>
      </c>
      <c r="D35" s="24" t="n">
        <f aca="false">IFERROR(ROUND(C35*0.7071,0),"")</f>
        <v>731765</v>
      </c>
      <c r="E35" s="24" t="n">
        <f aca="false">MAX(1,ROUND(1_Generation_Inventory!C35/500000,0))</f>
        <v>2</v>
      </c>
      <c r="F35" s="24" t="n">
        <f aca="false">ROUND(C35*0.75,0)</f>
        <v>776162</v>
      </c>
      <c r="G35" s="24" t="n">
        <f aca="false">D35</f>
        <v>731765</v>
      </c>
      <c r="H35" s="24" t="s">
        <v>114</v>
      </c>
    </row>
    <row r="36" customFormat="false" ht="57" hidden="false" customHeight="true" outlineLevel="0" collapsed="false">
      <c r="B36" s="24" t="s">
        <v>99</v>
      </c>
      <c r="C36" s="25" t="n">
        <f aca="false">IFERROR(INDEX(1_Generation_Inventory!$J$6:$J$40,MATCH(B36,1_Generation_Inventory!$B$6:$B$40,0)),"")</f>
        <v>1010874</v>
      </c>
      <c r="D36" s="24" t="n">
        <f aca="false">IFERROR(ROUND(C36*0.7071,0),"")</f>
        <v>714789</v>
      </c>
      <c r="E36" s="24" t="n">
        <f aca="false">MAX(1,ROUND(1_Generation_Inventory!C36/500000,0))</f>
        <v>2</v>
      </c>
      <c r="F36" s="24" t="n">
        <f aca="false">ROUND(C36*0.75,0)</f>
        <v>758156</v>
      </c>
      <c r="G36" s="24" t="n">
        <f aca="false">D36</f>
        <v>714789</v>
      </c>
      <c r="H36" s="24" t="s">
        <v>114</v>
      </c>
    </row>
    <row r="37" customFormat="false" ht="57" hidden="false" customHeight="true" outlineLevel="0" collapsed="false">
      <c r="B37" s="24" t="s">
        <v>100</v>
      </c>
      <c r="C37" s="25" t="n">
        <f aca="false">IFERROR(INDEX(1_Generation_Inventory!$J$6:$J$40,MATCH(B37,1_Generation_Inventory!$B$6:$B$40,0)),"")</f>
        <v>1288092</v>
      </c>
      <c r="D37" s="24" t="n">
        <f aca="false">IFERROR(ROUND(C37*0.7071,0),"")</f>
        <v>910810</v>
      </c>
      <c r="E37" s="24" t="n">
        <f aca="false">MAX(1,ROUND(1_Generation_Inventory!C37/500000,0))</f>
        <v>3</v>
      </c>
      <c r="F37" s="24" t="n">
        <f aca="false">ROUND(C37*0.75,0)</f>
        <v>966069</v>
      </c>
      <c r="G37" s="24" t="n">
        <f aca="false">D37</f>
        <v>910810</v>
      </c>
      <c r="H37" s="24" t="s">
        <v>114</v>
      </c>
    </row>
    <row r="38" customFormat="false" ht="57" hidden="false" customHeight="true" outlineLevel="0" collapsed="false">
      <c r="B38" s="24" t="s">
        <v>101</v>
      </c>
      <c r="C38" s="25" t="n">
        <f aca="false">IFERROR(INDEX(1_Generation_Inventory!$J$6:$J$40,MATCH(B38,1_Generation_Inventory!$B$6:$B$40,0)),"")</f>
        <v>1684518</v>
      </c>
      <c r="D38" s="24" t="n">
        <f aca="false">IFERROR(ROUND(C38*0.7071,0),"")</f>
        <v>1191123</v>
      </c>
      <c r="E38" s="24" t="n">
        <f aca="false">MAX(1,ROUND(1_Generation_Inventory!C38/500000,0))</f>
        <v>3</v>
      </c>
      <c r="F38" s="24" t="n">
        <f aca="false">ROUND(C38*0.75,0)</f>
        <v>1263389</v>
      </c>
      <c r="G38" s="24" t="n">
        <f aca="false">D38</f>
        <v>1191123</v>
      </c>
      <c r="H38" s="24" t="s">
        <v>114</v>
      </c>
    </row>
    <row r="39" customFormat="false" ht="57" hidden="false" customHeight="true" outlineLevel="0" collapsed="false">
      <c r="B39" s="24" t="s">
        <v>102</v>
      </c>
      <c r="C39" s="25" t="n">
        <f aca="false">IFERROR(INDEX(1_Generation_Inventory!$J$6:$J$40,MATCH(B39,1_Generation_Inventory!$B$6:$B$40,0)),"")</f>
        <v>639517</v>
      </c>
      <c r="D39" s="24" t="n">
        <f aca="false">IFERROR(ROUND(C39*0.7071,0),"")</f>
        <v>452202</v>
      </c>
      <c r="E39" s="24" t="n">
        <f aca="false">MAX(1,ROUND(1_Generation_Inventory!C39/500000,0))</f>
        <v>1</v>
      </c>
      <c r="F39" s="24" t="n">
        <f aca="false">ROUND(C39*0.75,0)</f>
        <v>479638</v>
      </c>
      <c r="G39" s="24" t="n">
        <f aca="false">D39</f>
        <v>452202</v>
      </c>
      <c r="H39" s="24" t="s">
        <v>114</v>
      </c>
    </row>
    <row r="40" customFormat="false" ht="57" hidden="false" customHeight="true" outlineLevel="0" collapsed="false">
      <c r="B40" s="24" t="s">
        <v>103</v>
      </c>
      <c r="C40" s="25" t="n">
        <f aca="false">IFERROR(INDEX(1_Generation_Inventory!$J$6:$J$40,MATCH(B40,1_Generation_Inventory!$B$6:$B$40,0)),"")</f>
        <v>1191825</v>
      </c>
      <c r="D40" s="24" t="n">
        <f aca="false">IFERROR(ROUND(C40*0.7071,0),"")</f>
        <v>842739</v>
      </c>
      <c r="E40" s="24" t="n">
        <f aca="false">MAX(1,ROUND(1_Generation_Inventory!C40/500000,0))</f>
        <v>2</v>
      </c>
      <c r="F40" s="24" t="n">
        <f aca="false">ROUND(C40*0.75,0)</f>
        <v>893869</v>
      </c>
      <c r="G40" s="24" t="n">
        <f aca="false">D40</f>
        <v>842739</v>
      </c>
      <c r="H40" s="24" t="s">
        <v>114</v>
      </c>
    </row>
    <row r="41" customFormat="false" ht="15" hidden="false" customHeight="true" outlineLevel="0" collapsed="false">
      <c r="B41" s="24"/>
      <c r="C41" s="25"/>
      <c r="D41" s="24"/>
      <c r="E41" s="24"/>
      <c r="F41" s="24"/>
      <c r="G41" s="24"/>
      <c r="H41" s="24"/>
    </row>
    <row r="42" customFormat="false" ht="15" hidden="false" customHeight="true" outlineLevel="0" collapsed="false">
      <c r="B42" s="24" t="s">
        <v>104</v>
      </c>
      <c r="C42" s="25" t="n">
        <f aca="false">SUM(C6:C40)</f>
        <v>30865976</v>
      </c>
      <c r="D42" s="24" t="n">
        <f aca="false">SUM(D6:D40)</f>
        <v>21825333</v>
      </c>
      <c r="E42" s="24" t="n">
        <f aca="false">SUM(E6:E40)</f>
        <v>66</v>
      </c>
      <c r="F42" s="24" t="n">
        <f aca="false">SUM(F6:F40)</f>
        <v>23149485</v>
      </c>
      <c r="G42" s="24" t="n">
        <f aca="false">SUM(G6:G40)</f>
        <v>21825333</v>
      </c>
      <c r="H42" s="24"/>
    </row>
  </sheetData>
  <mergeCells count="2">
    <mergeCell ref="A2:G2"/>
    <mergeCell ref="B3: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7421875" defaultRowHeight="15" zeroHeight="false" outlineLevelRow="0" outlineLevelCol="0"/>
  <cols>
    <col collapsed="false" customWidth="true" hidden="false" outlineLevel="0" max="1" min="1" style="1" width="2.96"/>
    <col collapsed="false" customWidth="true" hidden="false" outlineLevel="0" max="2" min="2" style="1" width="27.98"/>
    <col collapsed="false" customWidth="true" hidden="false" outlineLevel="0" max="3" min="3" style="1" width="22.06"/>
    <col collapsed="false" customWidth="true" hidden="false" outlineLevel="0" max="4" min="4" style="1" width="13.99"/>
    <col collapsed="false" customWidth="true" hidden="false" outlineLevel="0" max="5" min="5" style="1" width="16.01"/>
    <col collapsed="false" customWidth="true" hidden="false" outlineLevel="0" max="6" min="6" style="1" width="20.05"/>
    <col collapsed="false" customWidth="true" hidden="false" outlineLevel="0" max="8" min="7" style="1" width="18.03"/>
    <col collapsed="false" customWidth="true" hidden="false" outlineLevel="0" max="10" min="10" style="1" width="60"/>
  </cols>
  <sheetData>
    <row r="2" customFormat="false" ht="99.75" hidden="false" customHeight="true" outlineLevel="0" collapsed="false">
      <c r="A2" s="2" t="s">
        <v>115</v>
      </c>
      <c r="B2" s="2"/>
      <c r="C2" s="2"/>
      <c r="D2" s="2"/>
      <c r="E2" s="2"/>
      <c r="F2" s="2"/>
      <c r="G2" s="2"/>
      <c r="J2" s="23" t="s">
        <v>116</v>
      </c>
    </row>
    <row r="3" customFormat="false" ht="15" hidden="false" customHeight="true" outlineLevel="0" collapsed="false">
      <c r="B3" s="3" t="s">
        <v>117</v>
      </c>
      <c r="C3" s="3"/>
      <c r="D3" s="3"/>
      <c r="E3" s="3"/>
      <c r="F3" s="3"/>
      <c r="G3" s="3"/>
      <c r="H3" s="3"/>
    </row>
    <row r="5" customFormat="false" ht="31.5" hidden="false" customHeight="true" outlineLevel="0" collapsed="false">
      <c r="B5" s="7" t="s">
        <v>118</v>
      </c>
      <c r="C5" s="7" t="s">
        <v>119</v>
      </c>
      <c r="D5" s="7" t="s">
        <v>49</v>
      </c>
      <c r="E5" s="7" t="s">
        <v>120</v>
      </c>
      <c r="F5" s="7" t="s">
        <v>121</v>
      </c>
      <c r="G5" s="7" t="s">
        <v>122</v>
      </c>
      <c r="H5" s="7" t="s">
        <v>123</v>
      </c>
    </row>
    <row r="6" customFormat="false" ht="24.75" hidden="false" customHeight="true" outlineLevel="0" collapsed="false">
      <c r="B6" s="24" t="s">
        <v>124</v>
      </c>
      <c r="C6" s="24" t="s">
        <v>125</v>
      </c>
      <c r="D6" s="24" t="s">
        <v>126</v>
      </c>
      <c r="E6" s="24" t="n">
        <v>120</v>
      </c>
      <c r="F6" s="24"/>
      <c r="G6" s="26"/>
      <c r="H6" s="24"/>
    </row>
    <row r="7" customFormat="false" ht="15" hidden="false" customHeight="true" outlineLevel="0" collapsed="false">
      <c r="B7" s="24"/>
      <c r="C7" s="24"/>
      <c r="D7" s="24"/>
      <c r="E7" s="24"/>
      <c r="F7" s="24"/>
      <c r="G7" s="26"/>
      <c r="H7" s="24"/>
    </row>
    <row r="8" customFormat="false" ht="15" hidden="false" customHeight="true" outlineLevel="0" collapsed="false">
      <c r="B8" s="24"/>
      <c r="C8" s="24"/>
      <c r="D8" s="24"/>
      <c r="E8" s="24"/>
      <c r="F8" s="24"/>
      <c r="G8" s="26"/>
      <c r="H8" s="24"/>
    </row>
    <row r="9" customFormat="false" ht="15" hidden="false" customHeight="true" outlineLevel="0" collapsed="false">
      <c r="B9" s="24"/>
      <c r="C9" s="24"/>
      <c r="D9" s="24"/>
      <c r="E9" s="24"/>
      <c r="F9" s="24"/>
      <c r="G9" s="26"/>
      <c r="H9" s="24"/>
    </row>
    <row r="10" customFormat="false" ht="15" hidden="false" customHeight="true" outlineLevel="0" collapsed="false">
      <c r="B10" s="24"/>
      <c r="C10" s="24"/>
      <c r="D10" s="24"/>
      <c r="E10" s="24"/>
      <c r="F10" s="24"/>
      <c r="G10" s="26"/>
      <c r="H10" s="24"/>
    </row>
    <row r="11" customFormat="false" ht="15" hidden="false" customHeight="true" outlineLevel="0" collapsed="false">
      <c r="B11" s="24"/>
      <c r="C11" s="24"/>
      <c r="D11" s="24"/>
      <c r="E11" s="24"/>
      <c r="F11" s="24"/>
      <c r="G11" s="26"/>
      <c r="H11" s="24"/>
    </row>
    <row r="12" customFormat="false" ht="15" hidden="false" customHeight="true" outlineLevel="0" collapsed="false">
      <c r="B12" s="24"/>
      <c r="C12" s="24"/>
      <c r="D12" s="24"/>
      <c r="E12" s="24"/>
      <c r="F12" s="24"/>
      <c r="G12" s="26"/>
      <c r="H12" s="24"/>
    </row>
    <row r="13" customFormat="false" ht="15" hidden="false" customHeight="true" outlineLevel="0" collapsed="false">
      <c r="B13" s="24"/>
      <c r="C13" s="24"/>
      <c r="D13" s="24"/>
      <c r="E13" s="24"/>
      <c r="F13" s="24"/>
      <c r="G13" s="26"/>
      <c r="H13" s="24"/>
    </row>
    <row r="14" customFormat="false" ht="15" hidden="false" customHeight="true" outlineLevel="0" collapsed="false">
      <c r="B14" s="24"/>
      <c r="C14" s="24"/>
      <c r="D14" s="24"/>
      <c r="E14" s="24"/>
      <c r="F14" s="24"/>
      <c r="G14" s="26"/>
      <c r="H14" s="24"/>
    </row>
    <row r="15" customFormat="false" ht="15" hidden="false" customHeight="true" outlineLevel="0" collapsed="false">
      <c r="B15" s="24"/>
      <c r="C15" s="24"/>
      <c r="D15" s="24"/>
      <c r="E15" s="24"/>
      <c r="F15" s="24"/>
      <c r="G15" s="26"/>
      <c r="H15" s="24"/>
    </row>
    <row r="16" customFormat="false" ht="15" hidden="false" customHeight="true" outlineLevel="0" collapsed="false">
      <c r="B16" s="24"/>
      <c r="C16" s="24"/>
      <c r="D16" s="24"/>
      <c r="E16" s="24"/>
      <c r="F16" s="24"/>
      <c r="G16" s="26"/>
      <c r="H16" s="24"/>
    </row>
    <row r="17" customFormat="false" ht="15" hidden="false" customHeight="true" outlineLevel="0" collapsed="false">
      <c r="B17" s="24"/>
      <c r="C17" s="24"/>
      <c r="D17" s="24"/>
      <c r="E17" s="24"/>
      <c r="F17" s="24"/>
      <c r="G17" s="26"/>
      <c r="H17" s="24"/>
    </row>
    <row r="18" customFormat="false" ht="15" hidden="false" customHeight="true" outlineLevel="0" collapsed="false">
      <c r="B18" s="24"/>
      <c r="C18" s="24"/>
      <c r="D18" s="24"/>
      <c r="E18" s="24"/>
      <c r="F18" s="24"/>
      <c r="G18" s="26"/>
      <c r="H18" s="24"/>
    </row>
    <row r="19" customFormat="false" ht="15" hidden="false" customHeight="true" outlineLevel="0" collapsed="false">
      <c r="B19" s="24"/>
      <c r="C19" s="24"/>
      <c r="D19" s="24"/>
      <c r="E19" s="24"/>
      <c r="F19" s="24"/>
      <c r="G19" s="26"/>
      <c r="H19" s="24"/>
    </row>
    <row r="20" customFormat="false" ht="15" hidden="false" customHeight="true" outlineLevel="0" collapsed="false">
      <c r="B20" s="24"/>
      <c r="C20" s="24"/>
      <c r="D20" s="24"/>
      <c r="E20" s="24"/>
      <c r="F20" s="24"/>
      <c r="G20" s="26"/>
      <c r="H20" s="24"/>
    </row>
    <row r="21" customFormat="false" ht="15" hidden="false" customHeight="true" outlineLevel="0" collapsed="false">
      <c r="B21" s="24"/>
      <c r="C21" s="24"/>
      <c r="D21" s="24"/>
      <c r="E21" s="24"/>
      <c r="F21" s="24"/>
      <c r="G21" s="26"/>
      <c r="H21" s="24"/>
    </row>
    <row r="22" customFormat="false" ht="15" hidden="false" customHeight="true" outlineLevel="0" collapsed="false">
      <c r="B22" s="24"/>
      <c r="C22" s="24"/>
      <c r="D22" s="24"/>
      <c r="E22" s="24"/>
      <c r="F22" s="24"/>
      <c r="G22" s="26"/>
      <c r="H22" s="24"/>
    </row>
    <row r="23" customFormat="false" ht="15" hidden="false" customHeight="true" outlineLevel="0" collapsed="false">
      <c r="B23" s="24"/>
      <c r="C23" s="24"/>
      <c r="D23" s="24"/>
      <c r="E23" s="24"/>
      <c r="F23" s="24"/>
      <c r="G23" s="26"/>
      <c r="H23" s="24"/>
    </row>
    <row r="24" customFormat="false" ht="15" hidden="false" customHeight="true" outlineLevel="0" collapsed="false">
      <c r="B24" s="24"/>
      <c r="C24" s="24"/>
      <c r="D24" s="24"/>
      <c r="E24" s="24"/>
      <c r="F24" s="24"/>
      <c r="G24" s="26"/>
      <c r="H24" s="24"/>
    </row>
    <row r="25" customFormat="false" ht="15" hidden="false" customHeight="true" outlineLevel="0" collapsed="false">
      <c r="B25" s="24"/>
      <c r="C25" s="24"/>
      <c r="D25" s="24"/>
      <c r="E25" s="24"/>
      <c r="F25" s="24"/>
      <c r="G25" s="26"/>
      <c r="H25" s="24"/>
    </row>
    <row r="26" customFormat="false" ht="15" hidden="false" customHeight="true" outlineLevel="0" collapsed="false">
      <c r="B26" s="24"/>
      <c r="C26" s="24"/>
      <c r="D26" s="24"/>
      <c r="E26" s="24"/>
      <c r="F26" s="24"/>
      <c r="G26" s="26"/>
      <c r="H26" s="24"/>
    </row>
    <row r="28" customFormat="false" ht="15" hidden="false" customHeight="true" outlineLevel="0" collapsed="false">
      <c r="B28" s="15" t="s">
        <v>104</v>
      </c>
      <c r="D28" s="15" t="n">
        <f aca="false">SUM(D6:D26)</f>
        <v>0</v>
      </c>
      <c r="E28" s="15" t="n">
        <f aca="false">SUM(E6:E26)</f>
        <v>120</v>
      </c>
      <c r="F28" s="27" t="n">
        <f aca="false">IFERROR(AVERAGE(F6:F26),0)</f>
        <v>0</v>
      </c>
    </row>
  </sheetData>
  <mergeCells count="2">
    <mergeCell ref="A2:G2"/>
    <mergeCell ref="B3: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7421875" defaultRowHeight="15" zeroHeight="false" outlineLevelRow="0" outlineLevelCol="0"/>
  <cols>
    <col collapsed="false" customWidth="true" hidden="false" outlineLevel="0" max="1" min="1" style="1" width="2.96"/>
    <col collapsed="false" customWidth="true" hidden="false" outlineLevel="0" max="2" min="2" style="1" width="25.97"/>
    <col collapsed="false" customWidth="true" hidden="false" outlineLevel="0" max="3" min="3" style="1" width="20.05"/>
    <col collapsed="false" customWidth="true" hidden="false" outlineLevel="0" max="4" min="4" style="1" width="18.03"/>
    <col collapsed="false" customWidth="true" hidden="false" outlineLevel="0" max="5" min="5" style="1" width="16.01"/>
    <col collapsed="false" customWidth="true" hidden="false" outlineLevel="0" max="6" min="6" style="1" width="18.03"/>
    <col collapsed="false" customWidth="true" hidden="false" outlineLevel="0" max="7" min="7" style="1" width="22.06"/>
    <col collapsed="false" customWidth="true" hidden="false" outlineLevel="0" max="8" min="8" style="1" width="18.03"/>
    <col collapsed="false" customWidth="true" hidden="false" outlineLevel="0" max="9" min="9" style="1" width="27.98"/>
    <col collapsed="false" customWidth="true" hidden="false" outlineLevel="0" max="10" min="10" style="1" width="60"/>
  </cols>
  <sheetData>
    <row r="2" customFormat="false" ht="69.75" hidden="false" customHeight="true" outlineLevel="0" collapsed="false">
      <c r="A2" s="2" t="s">
        <v>127</v>
      </c>
      <c r="B2" s="2"/>
      <c r="C2" s="2"/>
      <c r="D2" s="2"/>
      <c r="E2" s="2"/>
      <c r="F2" s="2"/>
      <c r="G2" s="2"/>
      <c r="H2" s="2"/>
      <c r="J2" s="23" t="s">
        <v>128</v>
      </c>
    </row>
    <row r="3" customFormat="false" ht="15" hidden="false" customHeight="true" outlineLevel="0" collapsed="false">
      <c r="B3" s="3" t="s">
        <v>129</v>
      </c>
      <c r="C3" s="3"/>
      <c r="D3" s="3"/>
      <c r="E3" s="3"/>
      <c r="F3" s="3"/>
      <c r="G3" s="3"/>
      <c r="H3" s="3"/>
      <c r="I3" s="3"/>
    </row>
    <row r="5" customFormat="false" ht="31.5" hidden="false" customHeight="true" outlineLevel="0" collapsed="false">
      <c r="B5" s="7" t="s">
        <v>130</v>
      </c>
      <c r="C5" s="7" t="s">
        <v>131</v>
      </c>
      <c r="D5" s="7" t="s">
        <v>132</v>
      </c>
      <c r="E5" s="7" t="s">
        <v>133</v>
      </c>
      <c r="F5" s="7" t="s">
        <v>134</v>
      </c>
      <c r="G5" s="7" t="s">
        <v>135</v>
      </c>
      <c r="H5" s="7" t="s">
        <v>136</v>
      </c>
      <c r="I5" s="7" t="s">
        <v>113</v>
      </c>
    </row>
    <row r="6" customFormat="false" ht="15" hidden="false" customHeight="true" outlineLevel="0" collapsed="false">
      <c r="B6" s="28" t="s">
        <v>137</v>
      </c>
      <c r="C6" s="28" t="s">
        <v>138</v>
      </c>
      <c r="D6" s="28" t="s">
        <v>139</v>
      </c>
      <c r="E6" s="28" t="s">
        <v>140</v>
      </c>
      <c r="F6" s="28" t="s">
        <v>140</v>
      </c>
      <c r="G6" s="28" t="s">
        <v>141</v>
      </c>
      <c r="H6" s="28" t="s">
        <v>142</v>
      </c>
      <c r="I6" s="28" t="s">
        <v>143</v>
      </c>
    </row>
    <row r="7" customFormat="false" ht="15" hidden="false" customHeight="true" outlineLevel="0" collapsed="false">
      <c r="B7" s="24"/>
      <c r="C7" s="24"/>
      <c r="D7" s="24"/>
      <c r="E7" s="24"/>
      <c r="F7" s="24"/>
      <c r="G7" s="24"/>
      <c r="H7" s="24"/>
      <c r="I7" s="24"/>
    </row>
    <row r="8" customFormat="false" ht="15" hidden="false" customHeight="true" outlineLevel="0" collapsed="false">
      <c r="B8" s="24"/>
      <c r="C8" s="24"/>
      <c r="D8" s="24"/>
      <c r="E8" s="24"/>
      <c r="F8" s="24"/>
      <c r="G8" s="24"/>
      <c r="H8" s="24"/>
      <c r="I8" s="24"/>
    </row>
    <row r="9" customFormat="false" ht="15" hidden="false" customHeight="true" outlineLevel="0" collapsed="false">
      <c r="B9" s="24"/>
      <c r="C9" s="24"/>
      <c r="D9" s="24"/>
      <c r="E9" s="24"/>
      <c r="F9" s="24"/>
      <c r="G9" s="24"/>
      <c r="H9" s="24"/>
      <c r="I9" s="24"/>
    </row>
    <row r="10" customFormat="false" ht="15" hidden="false" customHeight="true" outlineLevel="0" collapsed="false">
      <c r="B10" s="24"/>
      <c r="C10" s="24"/>
      <c r="D10" s="24"/>
      <c r="E10" s="24"/>
      <c r="F10" s="24"/>
      <c r="G10" s="24"/>
      <c r="H10" s="24"/>
      <c r="I10" s="24"/>
    </row>
    <row r="11" customFormat="false" ht="15" hidden="false" customHeight="true" outlineLevel="0" collapsed="false">
      <c r="B11" s="24"/>
      <c r="C11" s="24"/>
      <c r="D11" s="24"/>
      <c r="E11" s="24"/>
      <c r="F11" s="24"/>
      <c r="G11" s="24"/>
      <c r="H11" s="24"/>
      <c r="I11" s="24"/>
    </row>
    <row r="12" customFormat="false" ht="15" hidden="false" customHeight="true" outlineLevel="0" collapsed="false">
      <c r="B12" s="24"/>
      <c r="C12" s="24"/>
      <c r="D12" s="24"/>
      <c r="E12" s="24"/>
      <c r="F12" s="24"/>
      <c r="G12" s="24"/>
      <c r="H12" s="24"/>
      <c r="I12" s="24"/>
    </row>
    <row r="13" customFormat="false" ht="15" hidden="false" customHeight="true" outlineLevel="0" collapsed="false">
      <c r="B13" s="24"/>
      <c r="C13" s="24"/>
      <c r="D13" s="24"/>
      <c r="E13" s="24"/>
      <c r="F13" s="24"/>
      <c r="G13" s="24"/>
      <c r="H13" s="24"/>
      <c r="I13" s="24"/>
    </row>
    <row r="14" customFormat="false" ht="15" hidden="false" customHeight="true" outlineLevel="0" collapsed="false">
      <c r="B14" s="24"/>
      <c r="C14" s="24"/>
      <c r="D14" s="24"/>
      <c r="E14" s="24"/>
      <c r="F14" s="24"/>
      <c r="G14" s="24"/>
      <c r="H14" s="24"/>
      <c r="I14" s="24"/>
    </row>
    <row r="15" customFormat="false" ht="15" hidden="false" customHeight="true" outlineLevel="0" collapsed="false">
      <c r="B15" s="24"/>
      <c r="C15" s="24"/>
      <c r="D15" s="24"/>
      <c r="E15" s="24"/>
      <c r="F15" s="24"/>
      <c r="G15" s="24"/>
      <c r="H15" s="24"/>
      <c r="I15" s="24"/>
    </row>
    <row r="16" customFormat="false" ht="15" hidden="false" customHeight="true" outlineLevel="0" collapsed="false">
      <c r="B16" s="24"/>
      <c r="C16" s="24"/>
      <c r="D16" s="24"/>
      <c r="E16" s="24"/>
      <c r="F16" s="24"/>
      <c r="G16" s="24"/>
      <c r="H16" s="24"/>
      <c r="I16" s="24"/>
    </row>
    <row r="17" customFormat="false" ht="15" hidden="false" customHeight="true" outlineLevel="0" collapsed="false">
      <c r="B17" s="24"/>
      <c r="C17" s="24"/>
      <c r="D17" s="24"/>
      <c r="E17" s="24"/>
      <c r="F17" s="24"/>
      <c r="G17" s="24"/>
      <c r="H17" s="24"/>
      <c r="I17" s="24"/>
    </row>
    <row r="18" customFormat="false" ht="15" hidden="false" customHeight="true" outlineLevel="0" collapsed="false">
      <c r="B18" s="24"/>
      <c r="C18" s="24"/>
      <c r="D18" s="24"/>
      <c r="E18" s="24"/>
      <c r="F18" s="24"/>
      <c r="G18" s="24"/>
      <c r="H18" s="24"/>
      <c r="I18" s="24"/>
    </row>
    <row r="19" customFormat="false" ht="15" hidden="false" customHeight="true" outlineLevel="0" collapsed="false">
      <c r="B19" s="24"/>
      <c r="C19" s="24"/>
      <c r="D19" s="24"/>
      <c r="E19" s="24"/>
      <c r="F19" s="24"/>
      <c r="G19" s="24"/>
      <c r="H19" s="24"/>
      <c r="I19" s="24"/>
    </row>
    <row r="20" customFormat="false" ht="15" hidden="false" customHeight="true" outlineLevel="0" collapsed="false">
      <c r="B20" s="24"/>
      <c r="C20" s="24"/>
      <c r="D20" s="24"/>
      <c r="E20" s="24"/>
      <c r="F20" s="24"/>
      <c r="G20" s="24"/>
      <c r="H20" s="24"/>
      <c r="I20" s="24"/>
    </row>
    <row r="21" customFormat="false" ht="15" hidden="false" customHeight="true" outlineLevel="0" collapsed="false">
      <c r="B21" s="24"/>
      <c r="C21" s="24"/>
      <c r="D21" s="24"/>
      <c r="E21" s="24"/>
      <c r="F21" s="24"/>
      <c r="G21" s="24"/>
      <c r="H21" s="24"/>
      <c r="I21" s="24"/>
    </row>
    <row r="22" customFormat="false" ht="15" hidden="false" customHeight="true" outlineLevel="0" collapsed="false">
      <c r="B22" s="24"/>
      <c r="C22" s="24"/>
      <c r="D22" s="24"/>
      <c r="E22" s="24"/>
      <c r="F22" s="24"/>
      <c r="G22" s="24"/>
      <c r="H22" s="24"/>
      <c r="I22" s="24"/>
    </row>
    <row r="23" customFormat="false" ht="15" hidden="false" customHeight="true" outlineLevel="0" collapsed="false">
      <c r="B23" s="24"/>
      <c r="C23" s="24"/>
      <c r="D23" s="24"/>
      <c r="E23" s="24"/>
      <c r="F23" s="24"/>
      <c r="G23" s="24"/>
      <c r="H23" s="24"/>
      <c r="I23" s="24"/>
    </row>
    <row r="24" customFormat="false" ht="15" hidden="false" customHeight="true" outlineLevel="0" collapsed="false">
      <c r="B24" s="24"/>
      <c r="C24" s="24"/>
      <c r="D24" s="24"/>
      <c r="E24" s="24"/>
      <c r="F24" s="24"/>
      <c r="G24" s="24"/>
      <c r="H24" s="24"/>
      <c r="I24" s="24"/>
    </row>
    <row r="25" customFormat="false" ht="15" hidden="false" customHeight="true" outlineLevel="0" collapsed="false">
      <c r="B25" s="24"/>
      <c r="C25" s="24"/>
      <c r="D25" s="24"/>
      <c r="E25" s="24"/>
      <c r="F25" s="24"/>
      <c r="G25" s="24"/>
      <c r="H25" s="24"/>
      <c r="I25" s="24"/>
    </row>
    <row r="26" customFormat="false" ht="15" hidden="false" customHeight="true" outlineLevel="0" collapsed="false">
      <c r="B26" s="24"/>
      <c r="C26" s="24"/>
      <c r="D26" s="24"/>
      <c r="E26" s="24"/>
      <c r="F26" s="24"/>
      <c r="G26" s="24"/>
      <c r="H26" s="24"/>
      <c r="I26" s="24"/>
    </row>
    <row r="28" customFormat="false" ht="15" hidden="false" customHeight="true" outlineLevel="0" collapsed="false">
      <c r="B28" s="15" t="s">
        <v>139</v>
      </c>
      <c r="C28" s="15" t="n">
        <f aca="false">COUNTIF(D6:D26,"Compliant")</f>
        <v>1</v>
      </c>
    </row>
    <row r="29" customFormat="false" ht="15" hidden="false" customHeight="true" outlineLevel="0" collapsed="false">
      <c r="B29" s="15" t="s">
        <v>144</v>
      </c>
      <c r="C29" s="15" t="n">
        <f aca="false">COUNTA(B6:B26)</f>
        <v>1</v>
      </c>
    </row>
    <row r="30" customFormat="false" ht="15" hidden="false" customHeight="true" outlineLevel="0" collapsed="false">
      <c r="B30" s="15" t="s">
        <v>145</v>
      </c>
      <c r="C30" s="15" t="n">
        <f aca="false">COUNTIF(E6:E26,"Yes")</f>
        <v>1</v>
      </c>
    </row>
    <row r="31" customFormat="false" ht="15" hidden="false" customHeight="true" outlineLevel="0" collapsed="false">
      <c r="B31" s="15" t="s">
        <v>146</v>
      </c>
      <c r="C31" s="15" t="n">
        <f aca="false">COUNTIF(F6:F26,"Yes")</f>
        <v>1</v>
      </c>
    </row>
    <row r="32" customFormat="false" ht="15" hidden="false" customHeight="true" outlineLevel="0" collapsed="false">
      <c r="B32" s="15" t="s">
        <v>147</v>
      </c>
      <c r="C32" s="15" t="n">
        <f aca="false">COUNTIF(G6:G26,"Yes")</f>
        <v>0</v>
      </c>
    </row>
    <row r="33" customFormat="false" ht="15" hidden="false" customHeight="true" outlineLevel="0" collapsed="false">
      <c r="B33" s="15" t="s">
        <v>148</v>
      </c>
      <c r="C33" s="15" t="n">
        <f aca="false">COUNTIF(H6:H26,"Yes")</f>
        <v>0</v>
      </c>
    </row>
  </sheetData>
  <mergeCells count="2">
    <mergeCell ref="A2:H2"/>
    <mergeCell ref="B3:I3"/>
  </mergeCells>
  <dataValidations count="2">
    <dataValidation allowBlank="true" errorStyle="stop" operator="between" showDropDown="false" showErrorMessage="false" showInputMessage="false" sqref="D7:D26" type="list">
      <formula1>"Compliant,Non-compliant,Under Review"</formula1>
      <formula2>0</formula2>
    </dataValidation>
    <dataValidation allowBlank="true" errorStyle="stop" operator="between" showDropDown="false" showErrorMessage="false" showInputMessage="false" sqref="E7:H26" type="list">
      <formula1>"Yes,No,N/A"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7421875" defaultRowHeight="15" zeroHeight="false" outlineLevelRow="0" outlineLevelCol="0"/>
  <cols>
    <col collapsed="false" customWidth="true" hidden="false" outlineLevel="0" max="1" min="1" style="1" width="2.96"/>
    <col collapsed="false" customWidth="true" hidden="false" outlineLevel="0" max="2" min="2" style="1" width="30"/>
    <col collapsed="false" customWidth="true" hidden="false" outlineLevel="0" max="3" min="3" style="1" width="16.01"/>
    <col collapsed="false" customWidth="true" hidden="false" outlineLevel="0" max="5" min="4" style="1" width="20.05"/>
    <col collapsed="false" customWidth="true" hidden="false" outlineLevel="0" max="6" min="6" style="1" width="22.06"/>
    <col collapsed="false" customWidth="true" hidden="false" outlineLevel="0" max="7" min="7" style="1" width="32.02"/>
    <col collapsed="false" customWidth="true" hidden="false" outlineLevel="0" max="8" min="8" style="1" width="23.94"/>
    <col collapsed="false" customWidth="true" hidden="false" outlineLevel="0" max="10" min="10" style="1" width="60"/>
  </cols>
  <sheetData>
    <row r="2" customFormat="false" ht="90" hidden="false" customHeight="true" outlineLevel="0" collapsed="false">
      <c r="A2" s="2" t="s">
        <v>149</v>
      </c>
      <c r="B2" s="2"/>
      <c r="C2" s="2"/>
      <c r="D2" s="2"/>
      <c r="E2" s="2"/>
      <c r="F2" s="2"/>
      <c r="G2" s="2"/>
      <c r="J2" s="23" t="s">
        <v>150</v>
      </c>
    </row>
    <row r="3" customFormat="false" ht="15" hidden="false" customHeight="true" outlineLevel="0" collapsed="false">
      <c r="B3" s="3" t="s">
        <v>151</v>
      </c>
      <c r="C3" s="3"/>
      <c r="D3" s="3"/>
      <c r="E3" s="3"/>
      <c r="F3" s="3"/>
      <c r="G3" s="3"/>
      <c r="H3" s="3"/>
    </row>
    <row r="5" customFormat="false" ht="31.5" hidden="false" customHeight="true" outlineLevel="0" collapsed="false">
      <c r="B5" s="7" t="s">
        <v>152</v>
      </c>
      <c r="C5" s="7" t="s">
        <v>49</v>
      </c>
      <c r="D5" s="7" t="s">
        <v>153</v>
      </c>
      <c r="E5" s="7" t="s">
        <v>154</v>
      </c>
      <c r="F5" s="7" t="s">
        <v>155</v>
      </c>
      <c r="G5" s="7" t="s">
        <v>156</v>
      </c>
      <c r="H5" s="7" t="s">
        <v>113</v>
      </c>
    </row>
    <row r="6" customFormat="false" ht="36" hidden="false" customHeight="true" outlineLevel="0" collapsed="false">
      <c r="B6" s="24" t="s">
        <v>157</v>
      </c>
      <c r="C6" s="24" t="s">
        <v>76</v>
      </c>
      <c r="D6" s="24" t="s">
        <v>158</v>
      </c>
      <c r="E6" s="24" t="s">
        <v>159</v>
      </c>
      <c r="F6" s="24" t="n">
        <v>0</v>
      </c>
      <c r="G6" s="24" t="s">
        <v>160</v>
      </c>
      <c r="H6" s="24" t="s">
        <v>161</v>
      </c>
    </row>
    <row r="7" customFormat="false" ht="15" hidden="false" customHeight="true" outlineLevel="0" collapsed="false">
      <c r="B7" s="24"/>
      <c r="C7" s="24"/>
      <c r="D7" s="24"/>
      <c r="E7" s="24"/>
      <c r="F7" s="24"/>
      <c r="G7" s="24"/>
      <c r="H7" s="24"/>
    </row>
    <row r="8" customFormat="false" ht="15" hidden="false" customHeight="true" outlineLevel="0" collapsed="false">
      <c r="B8" s="24"/>
      <c r="C8" s="24"/>
      <c r="D8" s="24"/>
      <c r="E8" s="24"/>
      <c r="F8" s="24"/>
      <c r="G8" s="24"/>
      <c r="H8" s="24"/>
    </row>
    <row r="9" customFormat="false" ht="15" hidden="false" customHeight="true" outlineLevel="0" collapsed="false">
      <c r="B9" s="24"/>
      <c r="C9" s="24"/>
      <c r="D9" s="24"/>
      <c r="E9" s="24"/>
      <c r="F9" s="24"/>
      <c r="G9" s="24"/>
      <c r="H9" s="24"/>
    </row>
    <row r="10" customFormat="false" ht="15" hidden="false" customHeight="true" outlineLevel="0" collapsed="false">
      <c r="B10" s="24"/>
      <c r="C10" s="24"/>
      <c r="D10" s="24"/>
      <c r="E10" s="24"/>
      <c r="F10" s="24"/>
      <c r="G10" s="24"/>
      <c r="H10" s="24"/>
    </row>
    <row r="11" customFormat="false" ht="15" hidden="false" customHeight="true" outlineLevel="0" collapsed="false">
      <c r="B11" s="24"/>
      <c r="C11" s="24"/>
      <c r="D11" s="24"/>
      <c r="E11" s="24"/>
      <c r="F11" s="24"/>
      <c r="G11" s="24"/>
      <c r="H11" s="24"/>
    </row>
    <row r="12" customFormat="false" ht="15" hidden="false" customHeight="true" outlineLevel="0" collapsed="false">
      <c r="B12" s="24"/>
      <c r="C12" s="24"/>
      <c r="D12" s="24"/>
      <c r="E12" s="24"/>
      <c r="F12" s="24"/>
      <c r="G12" s="24"/>
      <c r="H12" s="24"/>
    </row>
    <row r="13" customFormat="false" ht="15" hidden="false" customHeight="true" outlineLevel="0" collapsed="false">
      <c r="B13" s="24"/>
      <c r="C13" s="24"/>
      <c r="D13" s="24"/>
      <c r="E13" s="24"/>
      <c r="F13" s="24"/>
      <c r="G13" s="24"/>
      <c r="H13" s="24"/>
    </row>
    <row r="14" customFormat="false" ht="15" hidden="false" customHeight="true" outlineLevel="0" collapsed="false">
      <c r="B14" s="24"/>
      <c r="C14" s="24"/>
      <c r="D14" s="24"/>
      <c r="E14" s="24"/>
      <c r="F14" s="24"/>
      <c r="G14" s="24"/>
      <c r="H14" s="24"/>
    </row>
    <row r="15" customFormat="false" ht="15" hidden="false" customHeight="true" outlineLevel="0" collapsed="false">
      <c r="B15" s="24"/>
      <c r="C15" s="24"/>
      <c r="D15" s="24"/>
      <c r="E15" s="24"/>
      <c r="F15" s="24"/>
      <c r="G15" s="24"/>
      <c r="H15" s="24"/>
    </row>
    <row r="16" customFormat="false" ht="15" hidden="false" customHeight="true" outlineLevel="0" collapsed="false">
      <c r="B16" s="24"/>
      <c r="C16" s="24"/>
      <c r="D16" s="24"/>
      <c r="E16" s="24"/>
      <c r="F16" s="24"/>
      <c r="G16" s="24"/>
      <c r="H16" s="24"/>
    </row>
    <row r="17" customFormat="false" ht="15" hidden="false" customHeight="true" outlineLevel="0" collapsed="false">
      <c r="B17" s="24"/>
      <c r="C17" s="24"/>
      <c r="D17" s="24"/>
      <c r="E17" s="24"/>
      <c r="F17" s="24"/>
      <c r="G17" s="24"/>
      <c r="H17" s="24"/>
    </row>
    <row r="18" customFormat="false" ht="15" hidden="false" customHeight="true" outlineLevel="0" collapsed="false">
      <c r="B18" s="24"/>
      <c r="C18" s="24"/>
      <c r="D18" s="24"/>
      <c r="E18" s="24"/>
      <c r="F18" s="24"/>
      <c r="G18" s="24"/>
      <c r="H18" s="24"/>
    </row>
    <row r="19" customFormat="false" ht="15" hidden="false" customHeight="true" outlineLevel="0" collapsed="false">
      <c r="B19" s="24"/>
      <c r="C19" s="24"/>
      <c r="D19" s="24"/>
      <c r="E19" s="24"/>
      <c r="F19" s="24"/>
      <c r="G19" s="24"/>
      <c r="H19" s="24"/>
    </row>
    <row r="20" customFormat="false" ht="15" hidden="false" customHeight="true" outlineLevel="0" collapsed="false">
      <c r="B20" s="24"/>
      <c r="C20" s="24"/>
      <c r="D20" s="24"/>
      <c r="E20" s="24"/>
      <c r="F20" s="24"/>
      <c r="G20" s="24"/>
      <c r="H20" s="24"/>
    </row>
    <row r="21" customFormat="false" ht="15" hidden="false" customHeight="true" outlineLevel="0" collapsed="false">
      <c r="B21" s="24"/>
      <c r="C21" s="24"/>
      <c r="D21" s="24"/>
      <c r="E21" s="24"/>
      <c r="F21" s="24"/>
      <c r="G21" s="24"/>
      <c r="H21" s="24"/>
    </row>
    <row r="22" customFormat="false" ht="15" hidden="false" customHeight="true" outlineLevel="0" collapsed="false">
      <c r="B22" s="24"/>
      <c r="C22" s="24"/>
      <c r="D22" s="24"/>
      <c r="E22" s="24"/>
      <c r="F22" s="24"/>
      <c r="G22" s="24"/>
      <c r="H22" s="24"/>
    </row>
    <row r="23" customFormat="false" ht="15" hidden="false" customHeight="true" outlineLevel="0" collapsed="false">
      <c r="B23" s="24"/>
      <c r="C23" s="24"/>
      <c r="D23" s="24"/>
      <c r="E23" s="24"/>
      <c r="F23" s="24"/>
      <c r="G23" s="24"/>
      <c r="H23" s="24"/>
    </row>
    <row r="24" customFormat="false" ht="15" hidden="false" customHeight="true" outlineLevel="0" collapsed="false">
      <c r="B24" s="24"/>
      <c r="C24" s="24"/>
      <c r="D24" s="24"/>
      <c r="E24" s="24"/>
      <c r="F24" s="24"/>
      <c r="G24" s="24"/>
      <c r="H24" s="24"/>
    </row>
    <row r="25" customFormat="false" ht="15" hidden="false" customHeight="true" outlineLevel="0" collapsed="false">
      <c r="B25" s="24"/>
      <c r="C25" s="24"/>
      <c r="D25" s="24"/>
      <c r="E25" s="24"/>
      <c r="F25" s="24"/>
      <c r="G25" s="24"/>
      <c r="H25" s="24"/>
    </row>
    <row r="26" customFormat="false" ht="15" hidden="false" customHeight="true" outlineLevel="0" collapsed="false">
      <c r="B26" s="24"/>
      <c r="C26" s="24"/>
      <c r="D26" s="24"/>
      <c r="E26" s="24"/>
      <c r="F26" s="24"/>
      <c r="G26" s="24"/>
      <c r="H26" s="24"/>
    </row>
    <row r="28" customFormat="false" ht="15" hidden="false" customHeight="true" outlineLevel="0" collapsed="false">
      <c r="B28" s="15" t="s">
        <v>162</v>
      </c>
      <c r="C28" s="15" t="n">
        <f aca="false">COUNTA(B6:B26)</f>
        <v>1</v>
      </c>
    </row>
    <row r="29" customFormat="false" ht="15" hidden="false" customHeight="true" outlineLevel="0" collapsed="false">
      <c r="B29" s="15" t="s">
        <v>163</v>
      </c>
      <c r="C29" s="15" t="n">
        <f aca="false">COUNTIF(D6:D26,"Formalized")+COUNTIF(D6:D26,"Remediated")</f>
        <v>0</v>
      </c>
    </row>
    <row r="30" customFormat="false" ht="15" hidden="false" customHeight="true" outlineLevel="0" collapsed="false">
      <c r="B30" s="15" t="s">
        <v>164</v>
      </c>
      <c r="C30" s="15" t="n">
        <f aca="false">SUM(E6:E26)</f>
        <v>0</v>
      </c>
    </row>
    <row r="31" customFormat="false" ht="15" hidden="false" customHeight="true" outlineLevel="0" collapsed="false">
      <c r="B31" s="15" t="s">
        <v>165</v>
      </c>
      <c r="C31" s="15" t="n">
        <f aca="false">SUM(F6:F26)</f>
        <v>0</v>
      </c>
    </row>
  </sheetData>
  <mergeCells count="2">
    <mergeCell ref="A2:G2"/>
    <mergeCell ref="B3:H3"/>
  </mergeCells>
  <dataValidations count="1">
    <dataValidation allowBlank="true" errorStyle="stop" operator="between" showDropDown="false" showErrorMessage="false" showInputMessage="false" sqref="D7:D26" type="list">
      <formula1>"Active (Not Formalized),Partially Formalized,Formalized,Remediated"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7421875" defaultRowHeight="15" zeroHeight="false" outlineLevelRow="0" outlineLevelCol="0"/>
  <cols>
    <col collapsed="false" customWidth="true" hidden="false" outlineLevel="0" max="1" min="1" style="1" width="2.96"/>
    <col collapsed="false" customWidth="true" hidden="false" outlineLevel="0" max="2" min="2" style="1" width="27.98"/>
    <col collapsed="false" customWidth="true" hidden="false" outlineLevel="0" max="3" min="3" style="1" width="16.01"/>
    <col collapsed="false" customWidth="true" hidden="false" outlineLevel="0" max="4" min="4" style="1" width="18.03"/>
    <col collapsed="false" customWidth="true" hidden="false" outlineLevel="0" max="5" min="5" style="1" width="13.99"/>
    <col collapsed="false" customWidth="true" hidden="false" outlineLevel="0" max="6" min="6" style="1" width="22.06"/>
    <col collapsed="false" customWidth="true" hidden="false" outlineLevel="0" max="7" min="7" style="1" width="20.05"/>
    <col collapsed="false" customWidth="true" hidden="false" outlineLevel="0" max="8" min="8" style="1" width="18.03"/>
    <col collapsed="false" customWidth="true" hidden="false" outlineLevel="0" max="9" min="9" style="1" width="30"/>
    <col collapsed="false" customWidth="true" hidden="false" outlineLevel="0" max="10" min="10" style="1" width="60"/>
  </cols>
  <sheetData>
    <row r="2" customFormat="false" ht="69.75" hidden="false" customHeight="true" outlineLevel="0" collapsed="false">
      <c r="A2" s="2" t="s">
        <v>166</v>
      </c>
      <c r="B2" s="2"/>
      <c r="C2" s="2"/>
      <c r="D2" s="2"/>
      <c r="E2" s="2"/>
      <c r="F2" s="2"/>
      <c r="G2" s="2"/>
      <c r="H2" s="2"/>
      <c r="J2" s="23" t="s">
        <v>167</v>
      </c>
    </row>
    <row r="3" customFormat="false" ht="15" hidden="false" customHeight="true" outlineLevel="0" collapsed="false">
      <c r="B3" s="3" t="s">
        <v>168</v>
      </c>
      <c r="C3" s="3"/>
      <c r="D3" s="3"/>
      <c r="E3" s="3"/>
      <c r="F3" s="3"/>
      <c r="G3" s="3"/>
      <c r="H3" s="3"/>
      <c r="I3" s="3"/>
    </row>
    <row r="5" customFormat="false" ht="31.5" hidden="false" customHeight="true" outlineLevel="0" collapsed="false">
      <c r="B5" s="7" t="s">
        <v>169</v>
      </c>
      <c r="C5" s="7" t="s">
        <v>49</v>
      </c>
      <c r="D5" s="7" t="s">
        <v>170</v>
      </c>
      <c r="E5" s="7" t="s">
        <v>171</v>
      </c>
      <c r="F5" s="7" t="s">
        <v>172</v>
      </c>
      <c r="G5" s="7" t="s">
        <v>173</v>
      </c>
      <c r="H5" s="7" t="s">
        <v>174</v>
      </c>
      <c r="I5" s="7" t="s">
        <v>113</v>
      </c>
    </row>
    <row r="6" customFormat="false" ht="24.75" hidden="false" customHeight="true" outlineLevel="0" collapsed="false">
      <c r="B6" s="28" t="s">
        <v>175</v>
      </c>
      <c r="C6" s="28" t="s">
        <v>176</v>
      </c>
      <c r="D6" s="28" t="s">
        <v>177</v>
      </c>
      <c r="E6" s="28" t="s">
        <v>178</v>
      </c>
      <c r="F6" s="28" t="s">
        <v>179</v>
      </c>
      <c r="G6" s="28" t="s">
        <v>180</v>
      </c>
      <c r="H6" s="28" t="n">
        <v>0</v>
      </c>
      <c r="I6" s="28" t="s">
        <v>181</v>
      </c>
    </row>
    <row r="7" customFormat="false" ht="15" hidden="false" customHeight="true" outlineLevel="0" collapsed="false">
      <c r="B7" s="24"/>
      <c r="C7" s="24"/>
      <c r="D7" s="24"/>
      <c r="E7" s="24"/>
      <c r="F7" s="24"/>
      <c r="G7" s="24"/>
      <c r="H7" s="24"/>
      <c r="I7" s="24"/>
    </row>
    <row r="8" customFormat="false" ht="15" hidden="false" customHeight="true" outlineLevel="0" collapsed="false">
      <c r="B8" s="24"/>
      <c r="C8" s="24"/>
      <c r="D8" s="24"/>
      <c r="E8" s="24"/>
      <c r="F8" s="24"/>
      <c r="G8" s="24"/>
      <c r="H8" s="24"/>
      <c r="I8" s="24"/>
    </row>
    <row r="9" customFormat="false" ht="15" hidden="false" customHeight="true" outlineLevel="0" collapsed="false">
      <c r="B9" s="24"/>
      <c r="C9" s="24"/>
      <c r="D9" s="24"/>
      <c r="E9" s="24"/>
      <c r="F9" s="24"/>
      <c r="G9" s="24"/>
      <c r="H9" s="24"/>
      <c r="I9" s="24"/>
    </row>
    <row r="10" customFormat="false" ht="15" hidden="false" customHeight="true" outlineLevel="0" collapsed="false">
      <c r="B10" s="24"/>
      <c r="C10" s="24"/>
      <c r="D10" s="24"/>
      <c r="E10" s="24"/>
      <c r="F10" s="24"/>
      <c r="G10" s="24"/>
      <c r="H10" s="24"/>
      <c r="I10" s="24"/>
    </row>
    <row r="11" customFormat="false" ht="15" hidden="false" customHeight="true" outlineLevel="0" collapsed="false">
      <c r="B11" s="24"/>
      <c r="C11" s="24"/>
      <c r="D11" s="24"/>
      <c r="E11" s="24"/>
      <c r="F11" s="24"/>
      <c r="G11" s="24"/>
      <c r="H11" s="24"/>
      <c r="I11" s="24"/>
    </row>
    <row r="12" customFormat="false" ht="15" hidden="false" customHeight="true" outlineLevel="0" collapsed="false">
      <c r="B12" s="24"/>
      <c r="C12" s="24"/>
      <c r="D12" s="24"/>
      <c r="E12" s="24"/>
      <c r="F12" s="24"/>
      <c r="G12" s="24"/>
      <c r="H12" s="24"/>
      <c r="I12" s="24"/>
    </row>
    <row r="13" customFormat="false" ht="15" hidden="false" customHeight="true" outlineLevel="0" collapsed="false">
      <c r="B13" s="24"/>
      <c r="C13" s="24"/>
      <c r="D13" s="24"/>
      <c r="E13" s="24"/>
      <c r="F13" s="24"/>
      <c r="G13" s="24"/>
      <c r="H13" s="24"/>
      <c r="I13" s="24"/>
    </row>
    <row r="14" customFormat="false" ht="15" hidden="false" customHeight="true" outlineLevel="0" collapsed="false">
      <c r="B14" s="24"/>
      <c r="C14" s="24"/>
      <c r="D14" s="24"/>
      <c r="E14" s="24"/>
      <c r="F14" s="24"/>
      <c r="G14" s="24"/>
      <c r="H14" s="24"/>
      <c r="I14" s="24"/>
    </row>
    <row r="15" customFormat="false" ht="15" hidden="false" customHeight="true" outlineLevel="0" collapsed="false">
      <c r="B15" s="24"/>
      <c r="C15" s="24"/>
      <c r="D15" s="24"/>
      <c r="E15" s="24"/>
      <c r="F15" s="24"/>
      <c r="G15" s="24"/>
      <c r="H15" s="24"/>
      <c r="I15" s="24"/>
    </row>
    <row r="16" customFormat="false" ht="15" hidden="false" customHeight="true" outlineLevel="0" collapsed="false">
      <c r="B16" s="24"/>
      <c r="C16" s="24"/>
      <c r="D16" s="24"/>
      <c r="E16" s="24"/>
      <c r="F16" s="24"/>
      <c r="G16" s="24"/>
      <c r="H16" s="24"/>
      <c r="I16" s="24"/>
    </row>
    <row r="17" customFormat="false" ht="15" hidden="false" customHeight="true" outlineLevel="0" collapsed="false">
      <c r="B17" s="24"/>
      <c r="C17" s="24"/>
      <c r="D17" s="24"/>
      <c r="E17" s="24"/>
      <c r="F17" s="24"/>
      <c r="G17" s="24"/>
      <c r="H17" s="24"/>
      <c r="I17" s="24"/>
    </row>
    <row r="18" customFormat="false" ht="15" hidden="false" customHeight="true" outlineLevel="0" collapsed="false">
      <c r="B18" s="24"/>
      <c r="C18" s="24"/>
      <c r="D18" s="24"/>
      <c r="E18" s="24"/>
      <c r="F18" s="24"/>
      <c r="G18" s="24"/>
      <c r="H18" s="24"/>
      <c r="I18" s="24"/>
    </row>
    <row r="19" customFormat="false" ht="15" hidden="false" customHeight="true" outlineLevel="0" collapsed="false">
      <c r="B19" s="24"/>
      <c r="C19" s="24"/>
      <c r="D19" s="24"/>
      <c r="E19" s="24"/>
      <c r="F19" s="24"/>
      <c r="G19" s="24"/>
      <c r="H19" s="24"/>
      <c r="I19" s="24"/>
    </row>
    <row r="20" customFormat="false" ht="15" hidden="false" customHeight="true" outlineLevel="0" collapsed="false">
      <c r="B20" s="24"/>
      <c r="C20" s="24"/>
      <c r="D20" s="24"/>
      <c r="E20" s="24"/>
      <c r="F20" s="24"/>
      <c r="G20" s="24"/>
      <c r="H20" s="24"/>
      <c r="I20" s="24"/>
    </row>
    <row r="21" customFormat="false" ht="15" hidden="false" customHeight="true" outlineLevel="0" collapsed="false">
      <c r="B21" s="24"/>
      <c r="C21" s="24"/>
      <c r="D21" s="24"/>
      <c r="E21" s="24"/>
      <c r="F21" s="24"/>
      <c r="G21" s="24"/>
      <c r="H21" s="24"/>
      <c r="I21" s="24"/>
    </row>
    <row r="22" customFormat="false" ht="15" hidden="false" customHeight="true" outlineLevel="0" collapsed="false">
      <c r="B22" s="24"/>
      <c r="C22" s="24"/>
      <c r="D22" s="24"/>
      <c r="E22" s="24"/>
      <c r="F22" s="24"/>
      <c r="G22" s="24"/>
      <c r="H22" s="24"/>
      <c r="I22" s="24"/>
    </row>
    <row r="23" customFormat="false" ht="15" hidden="false" customHeight="true" outlineLevel="0" collapsed="false">
      <c r="B23" s="24"/>
      <c r="C23" s="24"/>
      <c r="D23" s="24"/>
      <c r="E23" s="24"/>
      <c r="F23" s="24"/>
      <c r="G23" s="24"/>
      <c r="H23" s="24"/>
      <c r="I23" s="24"/>
    </row>
    <row r="24" customFormat="false" ht="15" hidden="false" customHeight="true" outlineLevel="0" collapsed="false">
      <c r="B24" s="24"/>
      <c r="C24" s="24"/>
      <c r="D24" s="24"/>
      <c r="E24" s="24"/>
      <c r="F24" s="24"/>
      <c r="G24" s="24"/>
      <c r="H24" s="24"/>
      <c r="I24" s="24"/>
    </row>
    <row r="25" customFormat="false" ht="15" hidden="false" customHeight="true" outlineLevel="0" collapsed="false">
      <c r="B25" s="24"/>
      <c r="C25" s="24"/>
      <c r="D25" s="24"/>
      <c r="E25" s="24"/>
      <c r="F25" s="24"/>
      <c r="G25" s="24"/>
      <c r="H25" s="24"/>
      <c r="I25" s="24"/>
    </row>
    <row r="26" customFormat="false" ht="15" hidden="false" customHeight="true" outlineLevel="0" collapsed="false">
      <c r="B26" s="24"/>
      <c r="C26" s="24"/>
      <c r="D26" s="24"/>
      <c r="E26" s="24"/>
      <c r="F26" s="24"/>
      <c r="G26" s="24"/>
      <c r="H26" s="24"/>
      <c r="I26" s="24"/>
    </row>
    <row r="28" customFormat="false" ht="15" hidden="false" customHeight="true" outlineLevel="0" collapsed="false">
      <c r="B28" s="15" t="s">
        <v>182</v>
      </c>
      <c r="C28" s="15" t="n">
        <f aca="false">SUMPRODUCT((B6:B26&lt;&gt;"")/COUNTIF(B6:B26,B6:B26&amp;""))</f>
        <v>1</v>
      </c>
    </row>
    <row r="29" customFormat="false" ht="15" hidden="false" customHeight="true" outlineLevel="0" collapsed="false">
      <c r="B29" s="15" t="s">
        <v>183</v>
      </c>
      <c r="C29" s="15" t="n">
        <f aca="false">COUNTIF(F6:F26,"Yes")</f>
        <v>0</v>
      </c>
    </row>
    <row r="30" customFormat="false" ht="15" hidden="false" customHeight="true" outlineLevel="0" collapsed="false">
      <c r="B30" s="15" t="s">
        <v>184</v>
      </c>
      <c r="C30" s="15" t="n">
        <f aca="false">SUM(G6:G26)</f>
        <v>0</v>
      </c>
    </row>
  </sheetData>
  <mergeCells count="2">
    <mergeCell ref="A2:H2"/>
    <mergeCell ref="B3:I3"/>
  </mergeCells>
  <dataValidations count="3">
    <dataValidation allowBlank="true" errorStyle="stop" operator="between" showDropDown="false" showErrorMessage="false" showInputMessage="false" sqref="D7:D26" type="list">
      <formula1>"Soil,Water,Air,Soil + Water,Soil + Water + Air"</formula1>
      <formula2>0</formula2>
    </dataValidation>
    <dataValidation allowBlank="true" errorStyle="stop" operator="between" showDropDown="false" showErrorMessage="false" showInputMessage="false" sqref="E7:E26" type="list">
      <formula1>"Within Limit,Exceeds Limit,Pending Analysis"</formula1>
      <formula2>0</formula2>
    </dataValidation>
    <dataValidation allowBlank="true" errorStyle="stop" operator="between" showDropDown="false" showErrorMessage="false" showInputMessage="false" sqref="F7:F26"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7421875" defaultRowHeight="15" zeroHeight="false" outlineLevelRow="0" outlineLevelCol="0"/>
  <cols>
    <col collapsed="false" customWidth="true" hidden="false" outlineLevel="0" max="1" min="1" style="1" width="2.96"/>
    <col collapsed="false" customWidth="true" hidden="false" outlineLevel="0" max="2" min="2" style="1" width="30"/>
    <col collapsed="false" customWidth="true" hidden="false" outlineLevel="0" max="4" min="3" style="1" width="16.01"/>
    <col collapsed="false" customWidth="true" hidden="false" outlineLevel="0" max="6" min="5" style="1" width="22.06"/>
    <col collapsed="false" customWidth="true" hidden="false" outlineLevel="0" max="7" min="7" style="1" width="20.05"/>
    <col collapsed="false" customWidth="true" hidden="false" outlineLevel="0" max="10" min="10" style="1" width="60"/>
  </cols>
  <sheetData>
    <row r="2" customFormat="false" ht="90" hidden="false" customHeight="true" outlineLevel="0" collapsed="false">
      <c r="A2" s="2" t="s">
        <v>185</v>
      </c>
      <c r="B2" s="2"/>
      <c r="C2" s="2"/>
      <c r="D2" s="2"/>
      <c r="E2" s="2"/>
      <c r="F2" s="2"/>
      <c r="J2" s="23" t="s">
        <v>186</v>
      </c>
    </row>
    <row r="3" customFormat="false" ht="15" hidden="false" customHeight="true" outlineLevel="0" collapsed="false">
      <c r="B3" s="3" t="s">
        <v>187</v>
      </c>
      <c r="C3" s="3"/>
      <c r="D3" s="3"/>
      <c r="E3" s="3"/>
      <c r="F3" s="3"/>
      <c r="G3" s="3"/>
    </row>
    <row r="5" customFormat="false" ht="31.5" hidden="false" customHeight="true" outlineLevel="0" collapsed="false">
      <c r="B5" s="7" t="s">
        <v>188</v>
      </c>
      <c r="C5" s="7" t="s">
        <v>49</v>
      </c>
      <c r="D5" s="7" t="s">
        <v>171</v>
      </c>
      <c r="E5" s="7" t="s">
        <v>189</v>
      </c>
      <c r="F5" s="7" t="s">
        <v>190</v>
      </c>
      <c r="G5" s="7" t="s">
        <v>191</v>
      </c>
    </row>
    <row r="6" customFormat="false" ht="34.5" hidden="false" customHeight="true" outlineLevel="0" collapsed="false">
      <c r="B6" s="24" t="s">
        <v>192</v>
      </c>
      <c r="C6" s="24" t="s">
        <v>98</v>
      </c>
      <c r="D6" s="24" t="s">
        <v>193</v>
      </c>
      <c r="E6" s="24" t="s">
        <v>194</v>
      </c>
      <c r="F6" s="24" t="s">
        <v>195</v>
      </c>
      <c r="G6" s="24"/>
    </row>
    <row r="7" customFormat="false" ht="34.5" hidden="false" customHeight="true" outlineLevel="0" collapsed="false">
      <c r="B7" s="24" t="s">
        <v>196</v>
      </c>
      <c r="C7" s="24" t="s">
        <v>76</v>
      </c>
      <c r="D7" s="24" t="s">
        <v>193</v>
      </c>
      <c r="E7" s="24" t="s">
        <v>197</v>
      </c>
      <c r="F7" s="24" t="s">
        <v>198</v>
      </c>
      <c r="G7" s="24"/>
    </row>
    <row r="8" customFormat="false" ht="15" hidden="false" customHeight="true" outlineLevel="0" collapsed="false">
      <c r="B8" s="24"/>
      <c r="C8" s="24"/>
      <c r="D8" s="24"/>
      <c r="E8" s="24"/>
      <c r="F8" s="24"/>
      <c r="G8" s="24"/>
    </row>
    <row r="9" customFormat="false" ht="15" hidden="false" customHeight="true" outlineLevel="0" collapsed="false">
      <c r="B9" s="24"/>
      <c r="C9" s="24"/>
      <c r="D9" s="24"/>
      <c r="E9" s="24"/>
      <c r="F9" s="24"/>
      <c r="G9" s="24"/>
    </row>
    <row r="10" customFormat="false" ht="15" hidden="false" customHeight="true" outlineLevel="0" collapsed="false">
      <c r="B10" s="24"/>
      <c r="C10" s="24"/>
      <c r="D10" s="24"/>
      <c r="E10" s="24"/>
      <c r="F10" s="24"/>
      <c r="G10" s="24"/>
    </row>
    <row r="11" customFormat="false" ht="15" hidden="false" customHeight="true" outlineLevel="0" collapsed="false">
      <c r="B11" s="24"/>
      <c r="C11" s="24"/>
      <c r="D11" s="24"/>
      <c r="E11" s="24"/>
      <c r="F11" s="24"/>
      <c r="G11" s="24"/>
    </row>
    <row r="12" customFormat="false" ht="15" hidden="false" customHeight="true" outlineLevel="0" collapsed="false">
      <c r="B12" s="24"/>
      <c r="C12" s="24"/>
      <c r="D12" s="24"/>
      <c r="E12" s="24"/>
      <c r="F12" s="24"/>
      <c r="G12" s="24"/>
    </row>
    <row r="13" customFormat="false" ht="15" hidden="false" customHeight="true" outlineLevel="0" collapsed="false">
      <c r="B13" s="24"/>
      <c r="C13" s="24"/>
      <c r="D13" s="24"/>
      <c r="E13" s="24"/>
      <c r="F13" s="24"/>
      <c r="G13" s="24"/>
    </row>
    <row r="14" customFormat="false" ht="15" hidden="false" customHeight="true" outlineLevel="0" collapsed="false">
      <c r="B14" s="24"/>
      <c r="C14" s="24"/>
      <c r="D14" s="24"/>
      <c r="E14" s="24"/>
      <c r="F14" s="24"/>
      <c r="G14" s="24"/>
    </row>
    <row r="15" customFormat="false" ht="15" hidden="false" customHeight="true" outlineLevel="0" collapsed="false">
      <c r="B15" s="24"/>
      <c r="C15" s="24"/>
      <c r="D15" s="24"/>
      <c r="E15" s="24"/>
      <c r="F15" s="24"/>
      <c r="G15" s="24"/>
    </row>
    <row r="16" customFormat="false" ht="15" hidden="false" customHeight="true" outlineLevel="0" collapsed="false">
      <c r="B16" s="24"/>
      <c r="C16" s="24"/>
      <c r="D16" s="24"/>
      <c r="E16" s="24"/>
      <c r="F16" s="24"/>
      <c r="G16" s="24"/>
    </row>
    <row r="17" customFormat="false" ht="15" hidden="false" customHeight="true" outlineLevel="0" collapsed="false">
      <c r="B17" s="24"/>
      <c r="C17" s="24"/>
      <c r="D17" s="24"/>
      <c r="E17" s="24"/>
      <c r="F17" s="24"/>
      <c r="G17" s="24"/>
    </row>
    <row r="18" customFormat="false" ht="15" hidden="false" customHeight="true" outlineLevel="0" collapsed="false">
      <c r="B18" s="24"/>
      <c r="C18" s="24"/>
      <c r="D18" s="24"/>
      <c r="E18" s="24"/>
      <c r="F18" s="24"/>
      <c r="G18" s="24"/>
    </row>
    <row r="19" customFormat="false" ht="15" hidden="false" customHeight="true" outlineLevel="0" collapsed="false">
      <c r="B19" s="24"/>
      <c r="C19" s="24"/>
      <c r="D19" s="24"/>
      <c r="E19" s="24"/>
      <c r="F19" s="24"/>
      <c r="G19" s="24"/>
    </row>
    <row r="20" customFormat="false" ht="15" hidden="false" customHeight="true" outlineLevel="0" collapsed="false">
      <c r="B20" s="24"/>
      <c r="C20" s="24"/>
      <c r="D20" s="24"/>
      <c r="E20" s="24"/>
      <c r="F20" s="24"/>
      <c r="G20" s="24"/>
    </row>
    <row r="21" customFormat="false" ht="15" hidden="false" customHeight="true" outlineLevel="0" collapsed="false">
      <c r="B21" s="24"/>
      <c r="C21" s="24"/>
      <c r="D21" s="24"/>
      <c r="E21" s="24"/>
      <c r="F21" s="24"/>
      <c r="G21" s="24"/>
    </row>
    <row r="22" customFormat="false" ht="15" hidden="false" customHeight="true" outlineLevel="0" collapsed="false">
      <c r="B22" s="24"/>
      <c r="C22" s="24"/>
      <c r="D22" s="24"/>
      <c r="E22" s="24"/>
      <c r="F22" s="24"/>
      <c r="G22" s="24"/>
    </row>
    <row r="23" customFormat="false" ht="15" hidden="false" customHeight="true" outlineLevel="0" collapsed="false">
      <c r="B23" s="24"/>
      <c r="C23" s="24"/>
      <c r="D23" s="24"/>
      <c r="E23" s="24"/>
      <c r="F23" s="24"/>
      <c r="G23" s="24"/>
    </row>
    <row r="24" customFormat="false" ht="15" hidden="false" customHeight="true" outlineLevel="0" collapsed="false">
      <c r="B24" s="24"/>
      <c r="C24" s="24"/>
      <c r="D24" s="24"/>
      <c r="E24" s="24"/>
      <c r="F24" s="24"/>
      <c r="G24" s="24"/>
    </row>
    <row r="25" customFormat="false" ht="15" hidden="false" customHeight="true" outlineLevel="0" collapsed="false">
      <c r="B25" s="24"/>
      <c r="C25" s="24"/>
      <c r="D25" s="24"/>
      <c r="E25" s="24"/>
      <c r="F25" s="24"/>
      <c r="G25" s="24"/>
    </row>
    <row r="26" customFormat="false" ht="15" hidden="false" customHeight="true" outlineLevel="0" collapsed="false">
      <c r="B26" s="24"/>
      <c r="C26" s="24"/>
      <c r="D26" s="24"/>
      <c r="E26" s="24"/>
      <c r="F26" s="24"/>
      <c r="G26" s="24"/>
    </row>
    <row r="28" customFormat="false" ht="15" hidden="false" customHeight="true" outlineLevel="0" collapsed="false">
      <c r="B28" s="15" t="s">
        <v>199</v>
      </c>
      <c r="C28" s="15" t="n">
        <f aca="false">COUNTA(B6:B26)</f>
        <v>2</v>
      </c>
    </row>
    <row r="29" customFormat="false" ht="15" hidden="false" customHeight="true" outlineLevel="0" collapsed="false">
      <c r="B29" s="15" t="s">
        <v>200</v>
      </c>
      <c r="C29" s="15" t="n">
        <f aca="false">COUNTIF(D6:D26,"School Collection Drive")+COUNTIF(D6:D26,"RWA/Community Drive")</f>
        <v>0</v>
      </c>
    </row>
    <row r="30" customFormat="false" ht="15" hidden="false" customHeight="true" outlineLevel="0" collapsed="false">
      <c r="B30" s="15" t="s">
        <v>201</v>
      </c>
      <c r="C30" s="15" t="n">
        <f aca="false">SUM(F6:F26)</f>
        <v>0</v>
      </c>
    </row>
  </sheetData>
  <mergeCells count="2">
    <mergeCell ref="A2:F2"/>
    <mergeCell ref="B3:G3"/>
  </mergeCells>
  <dataValidations count="1">
    <dataValidation allowBlank="true" errorStyle="stop" operator="between" showDropDown="false" showErrorMessage="false" showInputMessage="false" sqref="D7:D26" type="list">
      <formula1>"Awareness Campaign,School Collection Drive,RWA/Community Drive,Industry Outreach,Media Campaign"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7A232B3FA31C48ADAF29702DE3C893" ma:contentTypeVersion="12" ma:contentTypeDescription="Create a new document." ma:contentTypeScope="" ma:versionID="9733aeacb51a31fd2347aff2540d3a50">
  <xsd:schema xmlns:xsd="http://www.w3.org/2001/XMLSchema" xmlns:xs="http://www.w3.org/2001/XMLSchema" xmlns:p="http://schemas.microsoft.com/office/2006/metadata/properties" xmlns:ns2="dd5b6b3d-3d39-4526-b8e4-79d21e1438f0" xmlns:ns3="44678d20-5b6e-4792-b133-ca784477d689" targetNamespace="http://schemas.microsoft.com/office/2006/metadata/properties" ma:root="true" ma:fieldsID="37926f2f1ae8b3f68e3dbd3dffff8aa9" ns2:_="" ns3:_="">
    <xsd:import namespace="dd5b6b3d-3d39-4526-b8e4-79d21e1438f0"/>
    <xsd:import namespace="44678d20-5b6e-4792-b133-ca784477d689"/>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5b6b3d-3d39-4526-b8e4-79d21e1438f0"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5c09e8c-4242-4efc-8aa0-958213fa9c5a"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678d20-5b6e-4792-b133-ca784477d68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ae8ad495-3829-482e-ad1b-cf0f2662c940}" ma:internalName="TaxCatchAll" ma:showField="CatchAllData" ma:web="44678d20-5b6e-4792-b133-ca784477d68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d5b6b3d-3d39-4526-b8e4-79d21e1438f0">
      <Terms xmlns="http://schemas.microsoft.com/office/infopath/2007/PartnerControls"/>
    </lcf76f155ced4ddcb4097134ff3c332f>
    <TaxCatchAll xmlns="44678d20-5b6e-4792-b133-ca784477d689" xsi:nil="true"/>
    <ReferenceId xmlns="dd5b6b3d-3d39-4526-b8e4-79d21e1438f0" xsi:nil="true"/>
  </documentManagement>
</p:properties>
</file>

<file path=customXml/itemProps1.xml><?xml version="1.0" encoding="utf-8"?>
<ds:datastoreItem xmlns:ds="http://schemas.openxmlformats.org/officeDocument/2006/customXml" ds:itemID="{DDA1E1D1-9016-44D0-81E1-83E42D6863B4}"/>
</file>

<file path=customXml/itemProps2.xml><?xml version="1.0" encoding="utf-8"?>
<ds:datastoreItem xmlns:ds="http://schemas.openxmlformats.org/officeDocument/2006/customXml" ds:itemID="{AF469E2E-C897-4EE1-B31D-84995C4626D0}"/>
</file>

<file path=customXml/itemProps3.xml><?xml version="1.0" encoding="utf-8"?>
<ds:datastoreItem xmlns:ds="http://schemas.openxmlformats.org/officeDocument/2006/customXml" ds:itemID="{EE50BFFC-AC6A-4579-9A14-FE5B0062ABDD}"/>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
  <cp:revision>0</cp:revision>
  <dcterms:created xsi:type="dcterms:W3CDTF">2026-07-16T04:20:02Z</dcterms:created>
  <dcterms:modified xsi:type="dcterms:W3CDTF">2026-07-20T09:04:20Z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0x010100B17A232B3FA31C48ADAF29702DE3C893</vt:lpwstr>
  </property>
</Properties>
</file>